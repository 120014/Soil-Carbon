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R\Millennial\final\exp\input\"/>
    </mc:Choice>
  </mc:AlternateContent>
  <bookViews>
    <workbookView xWindow="0" yWindow="0" windowWidth="12320" windowHeight="5520"/>
  </bookViews>
  <sheets>
    <sheet name="SITES" sheetId="1" r:id="rId1"/>
    <sheet name="Location" sheetId="10" r:id="rId2"/>
    <sheet name="第一批" sheetId="5" r:id="rId3"/>
    <sheet name="第二批" sheetId="4" r:id="rId4"/>
    <sheet name="单位" sheetId="3" r:id="rId5"/>
    <sheet name="Sheet1" sheetId="6" r:id="rId6"/>
    <sheet name="sheet2" sheetId="2" r:id="rId7"/>
    <sheet name="提取动态数据" sheetId="7" r:id="rId8"/>
    <sheet name="Sheet3" sheetId="8" r:id="rId9"/>
    <sheet name="Sheet4" sheetId="9" r:id="rId10"/>
  </sheets>
  <calcPr calcId="162913"/>
</workbook>
</file>

<file path=xl/calcChain.xml><?xml version="1.0" encoding="utf-8"?>
<calcChain xmlns="http://schemas.openxmlformats.org/spreadsheetml/2006/main">
  <c r="AS11" i="9" l="1"/>
  <c r="AR11" i="9"/>
  <c r="AP11" i="9"/>
  <c r="AQ11" i="9" s="1"/>
  <c r="AO11" i="9"/>
  <c r="AK11" i="9"/>
  <c r="AJ11" i="9"/>
  <c r="P6" i="9"/>
  <c r="O6" i="9"/>
  <c r="N6" i="9"/>
  <c r="M6" i="9"/>
  <c r="AS10" i="9"/>
  <c r="AR10" i="9"/>
  <c r="AO10" i="9"/>
  <c r="AK10" i="9"/>
  <c r="AJ10" i="9"/>
  <c r="P5" i="9"/>
  <c r="O5" i="9"/>
  <c r="N5" i="9"/>
  <c r="M5" i="9"/>
  <c r="AS9" i="9"/>
  <c r="AR9" i="9"/>
  <c r="AP9" i="9"/>
  <c r="AQ9" i="9" s="1"/>
  <c r="AO9" i="9"/>
  <c r="AK9" i="9"/>
  <c r="AJ9" i="9"/>
  <c r="P4" i="9"/>
  <c r="O4" i="9"/>
  <c r="N4" i="9"/>
  <c r="M4" i="9"/>
  <c r="AS8" i="9"/>
  <c r="AR8" i="9"/>
  <c r="AO8" i="9"/>
  <c r="AP8" i="9" s="1"/>
  <c r="AQ8" i="9" s="1"/>
  <c r="AK8" i="9"/>
  <c r="AJ8" i="9"/>
  <c r="P11" i="9"/>
  <c r="O11" i="9"/>
  <c r="N11" i="9"/>
  <c r="M11" i="9"/>
  <c r="AS7" i="9"/>
  <c r="AR7" i="9"/>
  <c r="AO7" i="9"/>
  <c r="AK7" i="9"/>
  <c r="AJ7" i="9"/>
  <c r="P10" i="9"/>
  <c r="O10" i="9"/>
  <c r="N10" i="9"/>
  <c r="M10" i="9"/>
  <c r="AS6" i="9"/>
  <c r="AR6" i="9"/>
  <c r="AO6" i="9"/>
  <c r="AP6" i="9" s="1"/>
  <c r="AQ6" i="9" s="1"/>
  <c r="AK6" i="9"/>
  <c r="AJ6" i="9"/>
  <c r="P9" i="9"/>
  <c r="O9" i="9"/>
  <c r="N9" i="9"/>
  <c r="M9" i="9"/>
  <c r="AS5" i="9"/>
  <c r="AR5" i="9"/>
  <c r="AP5" i="9"/>
  <c r="AO5" i="9"/>
  <c r="AQ5" i="9" s="1"/>
  <c r="AK5" i="9"/>
  <c r="AJ5" i="9"/>
  <c r="P8" i="9"/>
  <c r="O8" i="9"/>
  <c r="N8" i="9"/>
  <c r="M8" i="9"/>
  <c r="AS4" i="9"/>
  <c r="AR4" i="9"/>
  <c r="AO4" i="9"/>
  <c r="AP4" i="9" s="1"/>
  <c r="AK4" i="9"/>
  <c r="AJ4" i="9"/>
  <c r="P3" i="9"/>
  <c r="O3" i="9"/>
  <c r="N3" i="9"/>
  <c r="M3" i="9"/>
  <c r="AS3" i="9"/>
  <c r="AR3" i="9"/>
  <c r="AP3" i="9"/>
  <c r="AQ3" i="9" s="1"/>
  <c r="AO3" i="9"/>
  <c r="AK3" i="9"/>
  <c r="AJ3" i="9"/>
  <c r="P2" i="9"/>
  <c r="O2" i="9"/>
  <c r="N2" i="9"/>
  <c r="M2" i="9"/>
  <c r="AS2" i="9"/>
  <c r="AR2" i="9"/>
  <c r="AO2" i="9"/>
  <c r="AK2" i="9"/>
  <c r="AJ2" i="9"/>
  <c r="P7" i="9"/>
  <c r="O7" i="9"/>
  <c r="N7" i="9"/>
  <c r="M7" i="9"/>
  <c r="AQ2" i="9" l="1"/>
  <c r="AQ4" i="9"/>
  <c r="AP7" i="9"/>
  <c r="AQ7" i="9" s="1"/>
  <c r="AP2" i="9"/>
  <c r="AP10" i="9"/>
  <c r="AQ10" i="9" s="1"/>
  <c r="AU3" i="1"/>
  <c r="AV3" i="1"/>
  <c r="AU4" i="1"/>
  <c r="AV4" i="1"/>
  <c r="AU5" i="1"/>
  <c r="AV5" i="1"/>
  <c r="AU6" i="1"/>
  <c r="AV6" i="1"/>
  <c r="AU7" i="1"/>
  <c r="AV7" i="1"/>
  <c r="AU8" i="1"/>
  <c r="AV8" i="1"/>
  <c r="AU9" i="1"/>
  <c r="AV9" i="1"/>
  <c r="AU10" i="1"/>
  <c r="AV10" i="1"/>
  <c r="AU11" i="1"/>
  <c r="AV11" i="1"/>
  <c r="AV2" i="1"/>
  <c r="AU2" i="1"/>
  <c r="AS4" i="1"/>
  <c r="AS2" i="1"/>
  <c r="AR3" i="1"/>
  <c r="AR4" i="1"/>
  <c r="AT4" i="1" s="1"/>
  <c r="AR5" i="1"/>
  <c r="AS5" i="1" s="1"/>
  <c r="AR6" i="1"/>
  <c r="AS6" i="1" s="1"/>
  <c r="AT6" i="1" s="1"/>
  <c r="AR7" i="1"/>
  <c r="AR8" i="1"/>
  <c r="AR9" i="1"/>
  <c r="AS9" i="1" s="1"/>
  <c r="AT9" i="1" s="1"/>
  <c r="AR10" i="1"/>
  <c r="AR11" i="1"/>
  <c r="AS11" i="1" s="1"/>
  <c r="AT11" i="1" s="1"/>
  <c r="AR2" i="1"/>
  <c r="AT2" i="1" l="1"/>
  <c r="AS3" i="1"/>
  <c r="AT3" i="1" s="1"/>
  <c r="AT5" i="1"/>
  <c r="AS10" i="1"/>
  <c r="AT10" i="1" s="1"/>
  <c r="AS8" i="1"/>
  <c r="AT8" i="1" s="1"/>
  <c r="AS7" i="1"/>
  <c r="AT7" i="1" s="1"/>
  <c r="AN3" i="1"/>
  <c r="AN4" i="1"/>
  <c r="AN5" i="1"/>
  <c r="AN6" i="1"/>
  <c r="AN7" i="1"/>
  <c r="AN8" i="1"/>
  <c r="AN9" i="1"/>
  <c r="AN10" i="1"/>
  <c r="AN11" i="1"/>
  <c r="AN2" i="1"/>
  <c r="AM3" i="1"/>
  <c r="AM4" i="1"/>
  <c r="AM5" i="1"/>
  <c r="AM6" i="1"/>
  <c r="AM7" i="1"/>
  <c r="AM8" i="1"/>
  <c r="AM9" i="1"/>
  <c r="AM10" i="1"/>
  <c r="AM11" i="1"/>
  <c r="AM2" i="1"/>
  <c r="P3" i="1" l="1"/>
  <c r="Q3" i="1"/>
  <c r="R3" i="1"/>
  <c r="S3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Q2" i="1"/>
  <c r="R2" i="1"/>
  <c r="S2" i="1"/>
  <c r="P2" i="1"/>
  <c r="N8" i="3" l="1"/>
  <c r="N9" i="3"/>
  <c r="N10" i="3"/>
  <c r="N7" i="3"/>
  <c r="M7" i="3"/>
  <c r="D15" i="3" l="1"/>
  <c r="E15" i="3"/>
  <c r="D16" i="3"/>
  <c r="E16" i="3"/>
  <c r="D17" i="3"/>
  <c r="E17" i="3"/>
  <c r="E14" i="3"/>
  <c r="D14" i="3"/>
  <c r="J7" i="3" l="1"/>
  <c r="E7" i="3" l="1"/>
  <c r="M8" i="3"/>
  <c r="M9" i="3"/>
  <c r="M10" i="3"/>
  <c r="L8" i="3"/>
  <c r="L9" i="3"/>
  <c r="J8" i="3"/>
  <c r="K8" i="3"/>
  <c r="J9" i="3"/>
  <c r="K9" i="3"/>
  <c r="J10" i="3"/>
  <c r="L10" i="3" s="1"/>
  <c r="K10" i="3"/>
  <c r="K7" i="3"/>
  <c r="L7" i="3"/>
  <c r="E8" i="3"/>
  <c r="E9" i="3"/>
  <c r="E10" i="3"/>
  <c r="D8" i="3"/>
  <c r="O8" i="3" s="1"/>
  <c r="D9" i="3"/>
  <c r="O9" i="3" s="1"/>
  <c r="D10" i="3"/>
  <c r="O10" i="3" s="1"/>
  <c r="D7" i="3"/>
  <c r="O7" i="3" s="1"/>
</calcChain>
</file>

<file path=xl/sharedStrings.xml><?xml version="1.0" encoding="utf-8"?>
<sst xmlns="http://schemas.openxmlformats.org/spreadsheetml/2006/main" count="466" uniqueCount="181">
  <si>
    <t>Site</t>
  </si>
  <si>
    <t>type</t>
  </si>
  <si>
    <t>vegtype</t>
  </si>
  <si>
    <t>name</t>
  </si>
  <si>
    <t>SOC</t>
  </si>
  <si>
    <t>CLAY</t>
  </si>
  <si>
    <t>ANPP</t>
  </si>
  <si>
    <t>MAT</t>
  </si>
  <si>
    <t>MAP</t>
  </si>
  <si>
    <t>LIG</t>
  </si>
  <si>
    <t>N</t>
  </si>
  <si>
    <t>黄壤</t>
  </si>
  <si>
    <t>森林</t>
  </si>
  <si>
    <t>稀疏灌木林</t>
  </si>
  <si>
    <t>黑土</t>
  </si>
  <si>
    <t>草地</t>
  </si>
  <si>
    <t>栗钙土</t>
  </si>
  <si>
    <t>火山灰土</t>
  </si>
  <si>
    <t>落叶阔叶林</t>
  </si>
  <si>
    <t>红壤</t>
  </si>
  <si>
    <t>常绿阔叶林</t>
  </si>
  <si>
    <t>混交林</t>
  </si>
  <si>
    <t>棕壤</t>
  </si>
  <si>
    <t>郁闭灌木林</t>
  </si>
  <si>
    <t>草甸土</t>
  </si>
  <si>
    <t>农田</t>
  </si>
  <si>
    <t>赤红壤</t>
  </si>
  <si>
    <t>BULK</t>
    <phoneticPr fontId="18" type="noConversion"/>
  </si>
  <si>
    <t>g/cm3</t>
    <phoneticPr fontId="18" type="noConversion"/>
  </si>
  <si>
    <t>FBC</t>
    <phoneticPr fontId="18" type="noConversion"/>
  </si>
  <si>
    <t>BBC</t>
    <phoneticPr fontId="18" type="noConversion"/>
  </si>
  <si>
    <t>g C/m2</t>
  </si>
  <si>
    <t>%</t>
    <phoneticPr fontId="18" type="noConversion"/>
  </si>
  <si>
    <t>MBC</t>
    <phoneticPr fontId="18" type="noConversion"/>
  </si>
  <si>
    <t>DOC</t>
    <phoneticPr fontId="18" type="noConversion"/>
  </si>
  <si>
    <t>15℃下培养30d</t>
    <phoneticPr fontId="23" type="noConversion"/>
  </si>
  <si>
    <t>ug g-1 soil</t>
    <phoneticPr fontId="23" type="noConversion"/>
  </si>
  <si>
    <t>mg C/cm3</t>
    <phoneticPr fontId="18" type="noConversion"/>
  </si>
  <si>
    <t>FBC+BBC</t>
    <phoneticPr fontId="18" type="noConversion"/>
  </si>
  <si>
    <t>T</t>
    <phoneticPr fontId="18" type="noConversion"/>
  </si>
  <si>
    <t>SWC</t>
    <phoneticPr fontId="18" type="noConversion"/>
  </si>
  <si>
    <t>(g kg-1 soil)</t>
    <phoneticPr fontId="18" type="noConversion"/>
  </si>
  <si>
    <t>实测-提取</t>
    <phoneticPr fontId="18" type="noConversion"/>
  </si>
  <si>
    <t>ACID</t>
    <phoneticPr fontId="18" type="noConversion"/>
  </si>
  <si>
    <t>土壤背景值</t>
    <phoneticPr fontId="18" type="noConversion"/>
  </si>
  <si>
    <t>MBC</t>
    <phoneticPr fontId="23" type="noConversion"/>
  </si>
  <si>
    <t>DOC</t>
    <phoneticPr fontId="23" type="noConversion"/>
  </si>
  <si>
    <t>pH</t>
    <phoneticPr fontId="18" type="noConversion"/>
  </si>
  <si>
    <t>Ffbc</t>
    <phoneticPr fontId="18" type="noConversion"/>
  </si>
  <si>
    <t>fBBC</t>
    <phoneticPr fontId="18" type="noConversion"/>
  </si>
  <si>
    <t>黄棕壤1</t>
    <phoneticPr fontId="18" type="noConversion"/>
  </si>
  <si>
    <t>黄棕壤1</t>
    <phoneticPr fontId="18" type="noConversion"/>
  </si>
  <si>
    <t>黄棕壤2</t>
    <phoneticPr fontId="18" type="noConversion"/>
  </si>
  <si>
    <t>soil temp</t>
    <phoneticPr fontId="18" type="noConversion"/>
  </si>
  <si>
    <t>ST</t>
    <phoneticPr fontId="18" type="noConversion"/>
  </si>
  <si>
    <t>BULK(0-20cm)</t>
    <phoneticPr fontId="18" type="noConversion"/>
  </si>
  <si>
    <t>POC</t>
    <phoneticPr fontId="18" type="noConversion"/>
  </si>
  <si>
    <t>MAOC</t>
    <phoneticPr fontId="18" type="noConversion"/>
  </si>
  <si>
    <t>mg g-1 soil</t>
    <phoneticPr fontId="23" type="noConversion"/>
  </si>
  <si>
    <t>mg g-1 soil</t>
    <phoneticPr fontId="23" type="noConversion"/>
  </si>
  <si>
    <t>草酸输入量</t>
    <phoneticPr fontId="23" type="noConversion"/>
  </si>
  <si>
    <t>(g kg-1 soil)</t>
    <phoneticPr fontId="18" type="noConversion"/>
  </si>
  <si>
    <t>Ph</t>
    <phoneticPr fontId="23" type="noConversion"/>
  </si>
  <si>
    <t>SW</t>
    <phoneticPr fontId="18" type="noConversion"/>
  </si>
  <si>
    <t>porosity</t>
  </si>
  <si>
    <t>kg/m3</t>
    <phoneticPr fontId="18" type="noConversion"/>
  </si>
  <si>
    <r>
      <rPr>
        <sz val="10"/>
        <color theme="1"/>
        <rFont val="等线"/>
        <family val="2"/>
      </rPr>
      <t>土壤</t>
    </r>
    <phoneticPr fontId="23" type="noConversion"/>
  </si>
  <si>
    <r>
      <rPr>
        <sz val="10"/>
        <color theme="1"/>
        <rFont val="宋体"/>
        <family val="3"/>
        <charset val="134"/>
      </rPr>
      <t>经度</t>
    </r>
  </si>
  <si>
    <r>
      <rPr>
        <sz val="10"/>
        <color theme="1"/>
        <rFont val="宋体"/>
        <family val="3"/>
        <charset val="134"/>
      </rPr>
      <t>纬度</t>
    </r>
  </si>
  <si>
    <t>黄壤</t>
    <phoneticPr fontId="23" type="noConversion"/>
  </si>
  <si>
    <r>
      <rPr>
        <sz val="10"/>
        <color theme="1"/>
        <rFont val="等线"/>
        <family val="2"/>
      </rPr>
      <t>黑土</t>
    </r>
    <phoneticPr fontId="23" type="noConversion"/>
  </si>
  <si>
    <r>
      <rPr>
        <sz val="10"/>
        <color theme="1"/>
        <rFont val="等线"/>
        <family val="2"/>
      </rPr>
      <t>棕壤</t>
    </r>
    <phoneticPr fontId="23" type="noConversion"/>
  </si>
  <si>
    <r>
      <rPr>
        <sz val="10"/>
        <color theme="1"/>
        <rFont val="等线"/>
        <family val="2"/>
      </rPr>
      <t>草甸土</t>
    </r>
    <phoneticPr fontId="23" type="noConversion"/>
  </si>
  <si>
    <t>author</t>
  </si>
  <si>
    <t>Lon</t>
  </si>
  <si>
    <t>Lat</t>
  </si>
  <si>
    <t>biome</t>
    <phoneticPr fontId="23" type="noConversion"/>
  </si>
  <si>
    <t>POM</t>
  </si>
  <si>
    <t>DOC</t>
  </si>
  <si>
    <t>MBC</t>
  </si>
  <si>
    <t>MAOM</t>
  </si>
  <si>
    <t>SOM</t>
  </si>
  <si>
    <t>clay</t>
  </si>
  <si>
    <t>claysilt</t>
  </si>
  <si>
    <t>pH</t>
  </si>
  <si>
    <t>depth</t>
  </si>
  <si>
    <t>BD</t>
  </si>
  <si>
    <t>minetype</t>
  </si>
  <si>
    <t>NPP</t>
  </si>
  <si>
    <t>Lit</t>
  </si>
  <si>
    <t>ST</t>
  </si>
  <si>
    <t>SM</t>
  </si>
  <si>
    <t>MAT</t>
    <phoneticPr fontId="23" type="noConversion"/>
  </si>
  <si>
    <t>s1</t>
    <phoneticPr fontId="23" type="noConversion"/>
  </si>
  <si>
    <r>
      <rPr>
        <sz val="10"/>
        <color theme="5"/>
        <rFont val="宋体"/>
        <family val="1"/>
        <charset val="134"/>
      </rPr>
      <t>森林</t>
    </r>
    <phoneticPr fontId="23" type="noConversion"/>
  </si>
  <si>
    <t>s2</t>
    <phoneticPr fontId="23" type="noConversion"/>
  </si>
  <si>
    <r>
      <rPr>
        <sz val="10"/>
        <color theme="5"/>
        <rFont val="宋体"/>
        <family val="1"/>
        <charset val="134"/>
      </rPr>
      <t>草地</t>
    </r>
    <phoneticPr fontId="23" type="noConversion"/>
  </si>
  <si>
    <t>s3</t>
  </si>
  <si>
    <r>
      <rPr>
        <sz val="10"/>
        <color theme="5"/>
        <rFont val="宋体"/>
        <family val="1"/>
        <charset val="134"/>
      </rPr>
      <t>草地</t>
    </r>
    <phoneticPr fontId="23" type="noConversion"/>
  </si>
  <si>
    <t>s4</t>
  </si>
  <si>
    <t>s5</t>
  </si>
  <si>
    <r>
      <rPr>
        <sz val="10"/>
        <color theme="1"/>
        <rFont val="宋体"/>
        <family val="1"/>
        <charset val="134"/>
      </rPr>
      <t>草地</t>
    </r>
    <phoneticPr fontId="23" type="noConversion"/>
  </si>
  <si>
    <t>s6</t>
  </si>
  <si>
    <r>
      <rPr>
        <sz val="10"/>
        <color theme="1"/>
        <rFont val="宋体"/>
        <family val="1"/>
        <charset val="134"/>
      </rPr>
      <t>森林</t>
    </r>
    <phoneticPr fontId="23" type="noConversion"/>
  </si>
  <si>
    <t>s7</t>
  </si>
  <si>
    <t>s8</t>
  </si>
  <si>
    <t>s9</t>
  </si>
  <si>
    <r>
      <rPr>
        <sz val="10"/>
        <color theme="1"/>
        <rFont val="宋体"/>
        <family val="1"/>
        <charset val="134"/>
      </rPr>
      <t>森林</t>
    </r>
    <phoneticPr fontId="23" type="noConversion"/>
  </si>
  <si>
    <t>s10</t>
  </si>
  <si>
    <t>s11</t>
  </si>
  <si>
    <t>s12</t>
  </si>
  <si>
    <r>
      <rPr>
        <sz val="10"/>
        <color theme="1"/>
        <rFont val="宋体"/>
        <family val="1"/>
        <charset val="134"/>
      </rPr>
      <t>森林</t>
    </r>
    <phoneticPr fontId="23" type="noConversion"/>
  </si>
  <si>
    <t>s13</t>
  </si>
  <si>
    <t>s14</t>
  </si>
  <si>
    <t>s15</t>
  </si>
  <si>
    <t>s16</t>
  </si>
  <si>
    <r>
      <rPr>
        <sz val="10"/>
        <color rgb="FFFF0000"/>
        <rFont val="宋体"/>
        <family val="1"/>
        <charset val="134"/>
      </rPr>
      <t>森林</t>
    </r>
    <phoneticPr fontId="23" type="noConversion"/>
  </si>
  <si>
    <t>s17</t>
  </si>
  <si>
    <t>s18</t>
  </si>
  <si>
    <t>s19</t>
  </si>
  <si>
    <t>s20</t>
  </si>
  <si>
    <t>s21</t>
  </si>
  <si>
    <r>
      <rPr>
        <sz val="10"/>
        <color theme="5"/>
        <rFont val="宋体"/>
        <family val="1"/>
        <charset val="134"/>
      </rPr>
      <t>森林</t>
    </r>
    <phoneticPr fontId="23" type="noConversion"/>
  </si>
  <si>
    <t>s22</t>
  </si>
  <si>
    <t>s23</t>
  </si>
  <si>
    <r>
      <rPr>
        <sz val="10"/>
        <color theme="1"/>
        <rFont val="宋体"/>
        <family val="1"/>
        <charset val="134"/>
      </rPr>
      <t>草地</t>
    </r>
    <phoneticPr fontId="23" type="noConversion"/>
  </si>
  <si>
    <t>s24</t>
  </si>
  <si>
    <r>
      <rPr>
        <sz val="10"/>
        <color theme="1"/>
        <rFont val="宋体"/>
        <family val="1"/>
        <charset val="134"/>
      </rPr>
      <t>草地</t>
    </r>
    <phoneticPr fontId="23" type="noConversion"/>
  </si>
  <si>
    <t>s25</t>
  </si>
  <si>
    <t>s26</t>
  </si>
  <si>
    <t>s27</t>
  </si>
  <si>
    <r>
      <rPr>
        <sz val="10"/>
        <color rgb="FFFF0000"/>
        <rFont val="宋体"/>
        <family val="1"/>
        <charset val="134"/>
      </rPr>
      <t>草地</t>
    </r>
    <phoneticPr fontId="23" type="noConversion"/>
  </si>
  <si>
    <t>s28</t>
  </si>
  <si>
    <t>s29</t>
  </si>
  <si>
    <t>s30</t>
  </si>
  <si>
    <t>实验点顺序</t>
    <phoneticPr fontId="18" type="noConversion"/>
  </si>
  <si>
    <t>对应30个土编号</t>
    <phoneticPr fontId="18" type="noConversion"/>
  </si>
  <si>
    <t>claysilt</t>
    <phoneticPr fontId="18" type="noConversion"/>
  </si>
  <si>
    <t>claysilt</t>
    <phoneticPr fontId="18" type="noConversion"/>
  </si>
  <si>
    <t>fPOC</t>
    <phoneticPr fontId="18" type="noConversion"/>
  </si>
  <si>
    <t>fMAOC</t>
    <phoneticPr fontId="18" type="noConversion"/>
  </si>
  <si>
    <t>fMBC</t>
    <phoneticPr fontId="18" type="noConversion"/>
  </si>
  <si>
    <t>fDOC</t>
    <phoneticPr fontId="18" type="noConversion"/>
  </si>
  <si>
    <t>Ste</t>
    <phoneticPr fontId="18" type="noConversion"/>
  </si>
  <si>
    <t>Swe</t>
    <phoneticPr fontId="18" type="noConversion"/>
  </si>
  <si>
    <t>Qmax</t>
    <phoneticPr fontId="18" type="noConversion"/>
  </si>
  <si>
    <t>矿物类型</t>
    <phoneticPr fontId="18" type="noConversion"/>
  </si>
  <si>
    <t>pc</t>
    <phoneticPr fontId="18" type="noConversion"/>
  </si>
  <si>
    <t>cmfd-MAP</t>
    <phoneticPr fontId="18" type="noConversion"/>
  </si>
  <si>
    <t>MAT</t>
    <phoneticPr fontId="18" type="noConversion"/>
  </si>
  <si>
    <t>CUEp</t>
    <phoneticPr fontId="18" type="noConversion"/>
  </si>
  <si>
    <t>CUEn</t>
    <phoneticPr fontId="18" type="noConversion"/>
  </si>
  <si>
    <t>CUE</t>
    <phoneticPr fontId="18" type="noConversion"/>
  </si>
  <si>
    <t>kb-clm</t>
    <phoneticPr fontId="18" type="noConversion"/>
  </si>
  <si>
    <t>fmmaoc-clm</t>
    <phoneticPr fontId="18" type="noConversion"/>
  </si>
  <si>
    <t>kb-cmfd</t>
    <phoneticPr fontId="18" type="noConversion"/>
  </si>
  <si>
    <t>fmmaoc-cmfd</t>
    <phoneticPr fontId="18" type="noConversion"/>
  </si>
  <si>
    <t>silt（%）</t>
    <phoneticPr fontId="23" type="noConversion"/>
  </si>
  <si>
    <t>SoilTexture</t>
    <phoneticPr fontId="18" type="noConversion"/>
  </si>
  <si>
    <t>Sandy-Loam</t>
    <phoneticPr fontId="18" type="noConversion"/>
  </si>
  <si>
    <t>Loamy-Sand</t>
    <phoneticPr fontId="18" type="noConversion"/>
  </si>
  <si>
    <t>Silt-Loam</t>
  </si>
  <si>
    <t>Silt-Loam</t>
    <phoneticPr fontId="18" type="noConversion"/>
  </si>
  <si>
    <t>Sand</t>
    <phoneticPr fontId="18" type="noConversion"/>
  </si>
  <si>
    <t>foa_maom</t>
    <phoneticPr fontId="18" type="noConversion"/>
  </si>
  <si>
    <t>Lon</t>
    <phoneticPr fontId="18" type="noConversion"/>
  </si>
  <si>
    <t>Lat</t>
    <phoneticPr fontId="18" type="noConversion"/>
  </si>
  <si>
    <t>MCDigbp</t>
    <phoneticPr fontId="18" type="noConversion"/>
  </si>
  <si>
    <t>农田</t>
    <phoneticPr fontId="18" type="noConversion"/>
  </si>
  <si>
    <t>草地</t>
    <phoneticPr fontId="18" type="noConversion"/>
  </si>
  <si>
    <t>草地</t>
    <phoneticPr fontId="18" type="noConversion"/>
  </si>
  <si>
    <t>森林</t>
    <phoneticPr fontId="18" type="noConversion"/>
  </si>
  <si>
    <t>森林</t>
    <phoneticPr fontId="18" type="noConversion"/>
  </si>
  <si>
    <t>水体</t>
    <phoneticPr fontId="18" type="noConversion"/>
  </si>
  <si>
    <t>稀疏草原</t>
  </si>
  <si>
    <t>农田/天然植被</t>
  </si>
  <si>
    <t>类型</t>
    <phoneticPr fontId="18" type="noConversion"/>
  </si>
  <si>
    <t>J_type</t>
    <phoneticPr fontId="18" type="noConversion"/>
  </si>
  <si>
    <t>森林</t>
    <phoneticPr fontId="18" type="noConversion"/>
  </si>
  <si>
    <t>IGBP</t>
    <phoneticPr fontId="18" type="noConversion"/>
  </si>
  <si>
    <t>Ste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</si>
</sst>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_ "/>
    <numFmt numFmtId="177" formatCode="0_ "/>
    <numFmt numFmtId="178" formatCode="0.00_);[Red]\(0.00\)"/>
    <numFmt numFmtId="179" formatCode="0.000_);[Red]\(0.000\)"/>
    <numFmt numFmtId="180" formatCode="0.0"/>
    <numFmt numFmtId="181" formatCode="0.0000"/>
    <numFmt numFmtId="182" formatCode="0.000"/>
  </numFmts>
  <fonts count="5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等线"/>
      <family val="2"/>
    </font>
    <font>
      <sz val="10"/>
      <color theme="1"/>
      <name val="宋体"/>
      <family val="3"/>
      <charset val="134"/>
    </font>
    <font>
      <sz val="10"/>
      <color rgb="FF000000"/>
      <name val="Arial"/>
      <family val="2"/>
    </font>
    <font>
      <sz val="11"/>
      <color theme="5"/>
      <name val="Times New Roman"/>
      <family val="1"/>
    </font>
    <font>
      <sz val="10"/>
      <color theme="5"/>
      <name val="Arial"/>
      <family val="2"/>
    </font>
    <font>
      <sz val="10"/>
      <color theme="5"/>
      <name val="宋体"/>
      <family val="1"/>
      <charset val="134"/>
    </font>
    <font>
      <sz val="11"/>
      <color theme="5"/>
      <name val="等线"/>
      <family val="2"/>
      <scheme val="minor"/>
    </font>
    <font>
      <sz val="11"/>
      <color theme="5"/>
      <name val="宋体"/>
      <family val="1"/>
      <charset val="134"/>
    </font>
    <font>
      <sz val="11"/>
      <color theme="1"/>
      <name val="Times New Roman"/>
      <family val="1"/>
    </font>
    <font>
      <sz val="10"/>
      <color theme="1"/>
      <name val="宋体"/>
      <family val="1"/>
      <charset val="134"/>
    </font>
    <font>
      <sz val="11"/>
      <color theme="1"/>
      <name val="宋体"/>
      <family val="1"/>
      <charset val="134"/>
    </font>
    <font>
      <sz val="11"/>
      <color rgb="FFFF0000"/>
      <name val="宋体"/>
      <family val="1"/>
      <charset val="134"/>
    </font>
    <font>
      <sz val="10"/>
      <color rgb="FFFF0000"/>
      <name val="Arial"/>
      <family val="2"/>
    </font>
    <font>
      <sz val="10"/>
      <color rgb="FFFF0000"/>
      <name val="宋体"/>
      <family val="1"/>
      <charset val="134"/>
    </font>
    <font>
      <sz val="11"/>
      <color rgb="FFFF0000"/>
      <name val="等线"/>
      <family val="2"/>
      <scheme val="minor"/>
    </font>
    <font>
      <sz val="11"/>
      <color rgb="FFFF0000"/>
      <name val="Times New Roman"/>
      <family val="1"/>
    </font>
    <font>
      <sz val="11"/>
      <color rgb="FF00B0F0"/>
      <name val="等线"/>
      <family val="2"/>
      <charset val="134"/>
      <scheme val="minor"/>
    </font>
    <font>
      <sz val="11"/>
      <color rgb="FF00B0F0"/>
      <name val="等线"/>
      <family val="3"/>
      <charset val="134"/>
      <scheme val="minor"/>
    </font>
    <font>
      <sz val="10"/>
      <color rgb="FF00B0F0"/>
      <name val="Arial"/>
      <family val="2"/>
    </font>
    <font>
      <sz val="11"/>
      <color rgb="FF00B0F0"/>
      <name val="等线"/>
      <family val="2"/>
      <scheme val="minor"/>
    </font>
    <font>
      <sz val="11"/>
      <name val="等线"/>
      <family val="2"/>
      <charset val="134"/>
      <scheme val="minor"/>
    </font>
    <font>
      <sz val="11"/>
      <color theme="7"/>
      <name val="等线"/>
      <family val="2"/>
      <charset val="134"/>
      <scheme val="minor"/>
    </font>
    <font>
      <sz val="11"/>
      <color theme="7"/>
      <name val="Times New Roman"/>
      <family val="1"/>
    </font>
    <font>
      <sz val="11"/>
      <color theme="7"/>
      <name val="等线"/>
      <family val="3"/>
      <charset val="134"/>
      <scheme val="minor"/>
    </font>
    <font>
      <sz val="10"/>
      <color theme="7"/>
      <name val="Arial"/>
      <family val="2"/>
    </font>
    <font>
      <sz val="11"/>
      <color theme="7"/>
      <name val="等线"/>
      <family val="2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/>
  </cellStyleXfs>
  <cellXfs count="127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2" fontId="20" fillId="0" borderId="0" xfId="42" applyNumberFormat="1">
      <alignment vertical="center"/>
    </xf>
    <xf numFmtId="2" fontId="0" fillId="33" borderId="0" xfId="0" applyNumberFormat="1" applyFill="1" applyAlignment="1">
      <alignment vertical="center"/>
    </xf>
    <xf numFmtId="0" fontId="21" fillId="0" borderId="0" xfId="0" applyFont="1" applyAlignment="1"/>
    <xf numFmtId="0" fontId="0" fillId="35" borderId="0" xfId="0" applyFill="1">
      <alignment vertical="center"/>
    </xf>
    <xf numFmtId="0" fontId="0" fillId="34" borderId="0" xfId="0" applyFill="1" applyAlignment="1"/>
    <xf numFmtId="0" fontId="0" fillId="0" borderId="0" xfId="0" applyAlignment="1"/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  <xf numFmtId="0" fontId="0" fillId="36" borderId="0" xfId="0" applyFill="1">
      <alignment vertical="center"/>
    </xf>
    <xf numFmtId="2" fontId="0" fillId="0" borderId="0" xfId="0" applyNumberFormat="1" applyAlignment="1">
      <alignment vertical="center"/>
    </xf>
    <xf numFmtId="176" fontId="24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0" fillId="37" borderId="0" xfId="0" applyFill="1">
      <alignment vertical="center"/>
    </xf>
    <xf numFmtId="2" fontId="20" fillId="37" borderId="0" xfId="42" applyNumberFormat="1" applyFill="1">
      <alignment vertical="center"/>
    </xf>
    <xf numFmtId="176" fontId="24" fillId="37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Alignment="1"/>
    <xf numFmtId="2" fontId="0" fillId="37" borderId="0" xfId="0" applyNumberFormat="1" applyFill="1" applyAlignment="1">
      <alignment vertical="center"/>
    </xf>
    <xf numFmtId="0" fontId="0" fillId="37" borderId="0" xfId="0" applyFill="1" applyAlignment="1"/>
    <xf numFmtId="0" fontId="0" fillId="37" borderId="0" xfId="0" applyFill="1" applyAlignment="1">
      <alignment vertical="center"/>
    </xf>
    <xf numFmtId="0" fontId="14" fillId="37" borderId="0" xfId="0" applyFont="1" applyFill="1">
      <alignment vertical="center"/>
    </xf>
    <xf numFmtId="0" fontId="19" fillId="37" borderId="0" xfId="0" applyFont="1" applyFill="1">
      <alignment vertical="center"/>
    </xf>
    <xf numFmtId="1" fontId="20" fillId="0" borderId="0" xfId="42" applyNumberFormat="1">
      <alignment vertical="center"/>
    </xf>
    <xf numFmtId="1" fontId="20" fillId="37" borderId="0" xfId="42" applyNumberFormat="1" applyFill="1">
      <alignment vertical="center"/>
    </xf>
    <xf numFmtId="1" fontId="19" fillId="0" borderId="0" xfId="42" applyNumberFormat="1" applyFont="1">
      <alignment vertical="center"/>
    </xf>
    <xf numFmtId="2" fontId="0" fillId="0" borderId="0" xfId="0" applyNumberFormat="1" applyAlignment="1"/>
    <xf numFmtId="1" fontId="0" fillId="0" borderId="0" xfId="0" applyNumberFormat="1" applyAlignment="1"/>
    <xf numFmtId="0" fontId="0" fillId="39" borderId="0" xfId="0" applyFill="1">
      <alignment vertical="center"/>
    </xf>
    <xf numFmtId="0" fontId="0" fillId="39" borderId="0" xfId="0" applyFill="1" applyAlignment="1"/>
    <xf numFmtId="0" fontId="0" fillId="39" borderId="0" xfId="0" applyFill="1" applyAlignment="1">
      <alignment vertical="center"/>
    </xf>
    <xf numFmtId="176" fontId="24" fillId="39" borderId="0" xfId="0" applyNumberFormat="1" applyFont="1" applyFill="1" applyBorder="1" applyAlignment="1">
      <alignment horizontal="center" vertical="center"/>
    </xf>
    <xf numFmtId="2" fontId="20" fillId="39" borderId="0" xfId="42" applyNumberFormat="1" applyFill="1">
      <alignment vertical="center"/>
    </xf>
    <xf numFmtId="1" fontId="20" fillId="39" borderId="0" xfId="42" applyNumberFormat="1" applyFill="1">
      <alignment vertical="center"/>
    </xf>
    <xf numFmtId="1" fontId="0" fillId="39" borderId="0" xfId="0" applyNumberFormat="1" applyFill="1" applyAlignment="1"/>
    <xf numFmtId="2" fontId="0" fillId="39" borderId="0" xfId="0" applyNumberFormat="1" applyFill="1" applyAlignment="1"/>
    <xf numFmtId="0" fontId="24" fillId="0" borderId="0" xfId="0" applyFont="1" applyBorder="1" applyAlignment="1">
      <alignment horizontal="center" vertical="center" wrapText="1"/>
    </xf>
    <xf numFmtId="177" fontId="0" fillId="39" borderId="0" xfId="0" applyNumberFormat="1" applyFill="1" applyAlignment="1"/>
    <xf numFmtId="0" fontId="25" fillId="39" borderId="0" xfId="0" applyFont="1" applyFill="1" applyBorder="1" applyAlignment="1">
      <alignment horizontal="center" vertical="center"/>
    </xf>
    <xf numFmtId="0" fontId="27" fillId="39" borderId="0" xfId="0" applyFont="1" applyFill="1" applyBorder="1" applyAlignment="1">
      <alignment horizontal="center" vertical="center" wrapText="1"/>
    </xf>
    <xf numFmtId="0" fontId="24" fillId="39" borderId="0" xfId="0" applyFont="1" applyFill="1" applyBorder="1" applyAlignment="1">
      <alignment horizontal="center" vertical="center"/>
    </xf>
    <xf numFmtId="0" fontId="28" fillId="0" borderId="0" xfId="0" applyFont="1" applyAlignment="1"/>
    <xf numFmtId="178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79" fontId="31" fillId="39" borderId="0" xfId="0" applyNumberFormat="1" applyFont="1" applyFill="1" applyAlignment="1">
      <alignment horizontal="center" vertical="center"/>
    </xf>
    <xf numFmtId="1" fontId="31" fillId="0" borderId="0" xfId="0" applyNumberFormat="1" applyFont="1" applyAlignment="1">
      <alignment horizontal="center"/>
    </xf>
    <xf numFmtId="0" fontId="31" fillId="0" borderId="0" xfId="0" applyFont="1" applyAlignment="1"/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/>
    <xf numFmtId="0" fontId="32" fillId="0" borderId="0" xfId="0" applyFont="1" applyAlignment="1"/>
    <xf numFmtId="179" fontId="31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>
      <alignment horizontal="center" vertical="center" wrapText="1"/>
    </xf>
    <xf numFmtId="0" fontId="33" fillId="0" borderId="0" xfId="0" applyFont="1" applyAlignment="1"/>
    <xf numFmtId="178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33" fillId="0" borderId="0" xfId="0" applyFont="1" applyAlignment="1">
      <alignment horizontal="center" vertical="center"/>
    </xf>
    <xf numFmtId="2" fontId="33" fillId="0" borderId="0" xfId="0" applyNumberFormat="1" applyFont="1" applyAlignment="1"/>
    <xf numFmtId="0" fontId="35" fillId="0" borderId="0" xfId="0" applyFont="1" applyAlignment="1"/>
    <xf numFmtId="0" fontId="36" fillId="0" borderId="0" xfId="0" applyFont="1" applyAlignment="1"/>
    <xf numFmtId="178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179" fontId="39" fillId="0" borderId="0" xfId="0" applyNumberFormat="1" applyFont="1" applyAlignment="1">
      <alignment horizontal="center" vertical="center"/>
    </xf>
    <xf numFmtId="180" fontId="39" fillId="0" borderId="0" xfId="0" applyNumberFormat="1" applyFont="1" applyAlignment="1">
      <alignment horizontal="center"/>
    </xf>
    <xf numFmtId="0" fontId="39" fillId="0" borderId="0" xfId="0" applyFont="1" applyAlignment="1"/>
    <xf numFmtId="0" fontId="40" fillId="0" borderId="0" xfId="0" applyFont="1" applyAlignment="1"/>
    <xf numFmtId="0" fontId="40" fillId="0" borderId="0" xfId="0" applyFont="1" applyAlignment="1">
      <alignment horizontal="center" vertical="center"/>
    </xf>
    <xf numFmtId="2" fontId="40" fillId="0" borderId="0" xfId="0" applyNumberFormat="1" applyFont="1" applyAlignment="1"/>
    <xf numFmtId="0" fontId="29" fillId="0" borderId="0" xfId="0" applyFont="1" applyBorder="1" applyAlignment="1">
      <alignment horizontal="center" vertical="center" wrapText="1"/>
    </xf>
    <xf numFmtId="0" fontId="28" fillId="39" borderId="0" xfId="0" applyFont="1" applyFill="1" applyAlignment="1"/>
    <xf numFmtId="0" fontId="32" fillId="39" borderId="0" xfId="0" applyFont="1" applyFill="1" applyAlignment="1"/>
    <xf numFmtId="180" fontId="31" fillId="0" borderId="0" xfId="0" applyNumberFormat="1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14" fillId="0" borderId="0" xfId="0" applyFont="1" applyAlignment="1"/>
    <xf numFmtId="176" fontId="14" fillId="0" borderId="0" xfId="0" applyNumberFormat="1" applyFont="1" applyAlignment="1"/>
    <xf numFmtId="2" fontId="14" fillId="0" borderId="0" xfId="0" applyNumberFormat="1" applyFont="1" applyAlignment="1"/>
    <xf numFmtId="176" fontId="37" fillId="0" borderId="0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" fontId="14" fillId="0" borderId="0" xfId="0" applyNumberFormat="1" applyFont="1" applyAlignment="1"/>
    <xf numFmtId="0" fontId="41" fillId="0" borderId="0" xfId="0" applyFont="1">
      <alignment vertical="center"/>
    </xf>
    <xf numFmtId="0" fontId="41" fillId="0" borderId="0" xfId="0" applyFont="1" applyAlignment="1"/>
    <xf numFmtId="1" fontId="41" fillId="0" borderId="0" xfId="0" applyNumberFormat="1" applyFont="1" applyAlignment="1"/>
    <xf numFmtId="176" fontId="41" fillId="0" borderId="0" xfId="0" applyNumberFormat="1" applyFont="1" applyAlignment="1"/>
    <xf numFmtId="1" fontId="42" fillId="0" borderId="0" xfId="42" applyNumberFormat="1" applyFont="1">
      <alignment vertical="center"/>
    </xf>
    <xf numFmtId="2" fontId="41" fillId="38" borderId="0" xfId="0" applyNumberFormat="1" applyFont="1" applyFill="1" applyAlignment="1"/>
    <xf numFmtId="176" fontId="43" fillId="38" borderId="0" xfId="0" applyNumberFormat="1" applyFont="1" applyFill="1" applyBorder="1" applyAlignment="1">
      <alignment horizontal="center" vertical="center"/>
    </xf>
    <xf numFmtId="0" fontId="44" fillId="0" borderId="0" xfId="0" applyFont="1" applyAlignment="1"/>
    <xf numFmtId="2" fontId="41" fillId="0" borderId="0" xfId="0" applyNumberFormat="1" applyFont="1" applyAlignment="1"/>
    <xf numFmtId="176" fontId="43" fillId="0" borderId="0" xfId="0" applyNumberFormat="1" applyFont="1" applyBorder="1" applyAlignment="1">
      <alignment horizontal="center" vertical="center"/>
    </xf>
    <xf numFmtId="0" fontId="0" fillId="40" borderId="0" xfId="0" applyFill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0" fillId="0" borderId="0" xfId="0" applyNumberFormat="1">
      <alignment vertical="center"/>
    </xf>
    <xf numFmtId="180" fontId="0" fillId="39" borderId="0" xfId="0" applyNumberFormat="1" applyFill="1" applyAlignment="1"/>
    <xf numFmtId="180" fontId="0" fillId="0" borderId="0" xfId="0" applyNumberFormat="1" applyAlignment="1"/>
    <xf numFmtId="0" fontId="45" fillId="0" borderId="0" xfId="0" applyFont="1" applyAlignment="1"/>
    <xf numFmtId="0" fontId="46" fillId="0" borderId="0" xfId="0" applyFont="1">
      <alignment vertical="center"/>
    </xf>
    <xf numFmtId="0" fontId="46" fillId="0" borderId="0" xfId="0" applyFont="1" applyAlignment="1"/>
    <xf numFmtId="1" fontId="46" fillId="0" borderId="0" xfId="0" applyNumberFormat="1" applyFont="1" applyAlignment="1"/>
    <xf numFmtId="176" fontId="46" fillId="0" borderId="0" xfId="0" applyNumberFormat="1" applyFont="1" applyAlignment="1"/>
    <xf numFmtId="2" fontId="47" fillId="0" borderId="0" xfId="0" applyNumberFormat="1" applyFont="1" applyAlignment="1"/>
    <xf numFmtId="1" fontId="48" fillId="0" borderId="0" xfId="42" applyNumberFormat="1" applyFont="1">
      <alignment vertical="center"/>
    </xf>
    <xf numFmtId="180" fontId="46" fillId="39" borderId="0" xfId="0" applyNumberFormat="1" applyFont="1" applyFill="1" applyAlignment="1"/>
    <xf numFmtId="2" fontId="46" fillId="0" borderId="0" xfId="0" applyNumberFormat="1" applyFont="1" applyAlignment="1"/>
    <xf numFmtId="176" fontId="49" fillId="0" borderId="0" xfId="0" applyNumberFormat="1" applyFont="1" applyBorder="1" applyAlignment="1">
      <alignment horizontal="center" vertical="center"/>
    </xf>
    <xf numFmtId="0" fontId="50" fillId="0" borderId="0" xfId="0" applyFont="1" applyAlignment="1"/>
    <xf numFmtId="182" fontId="46" fillId="0" borderId="0" xfId="0" applyNumberFormat="1" applyFont="1">
      <alignment vertical="center"/>
    </xf>
    <xf numFmtId="181" fontId="46" fillId="0" borderId="0" xfId="0" applyNumberFormat="1" applyFont="1">
      <alignment vertical="center"/>
    </xf>
    <xf numFmtId="2" fontId="46" fillId="0" borderId="0" xfId="0" applyNumberFormat="1" applyFont="1">
      <alignment vertical="center"/>
    </xf>
    <xf numFmtId="0" fontId="48" fillId="0" borderId="0" xfId="0" applyFont="1">
      <alignment vertical="center"/>
    </xf>
    <xf numFmtId="180" fontId="46" fillId="0" borderId="0" xfId="0" applyNumberFormat="1" applyFont="1" applyAlignment="1"/>
    <xf numFmtId="1" fontId="0" fillId="0" borderId="0" xfId="0" applyNumberFormat="1">
      <alignment vertical="center"/>
    </xf>
    <xf numFmtId="1" fontId="46" fillId="0" borderId="0" xfId="0" applyNumberFormat="1" applyFont="1">
      <alignment vertical="center"/>
    </xf>
    <xf numFmtId="1" fontId="41" fillId="0" borderId="0" xfId="0" applyNumberFormat="1" applyFont="1">
      <alignment vertical="center"/>
    </xf>
    <xf numFmtId="1" fontId="14" fillId="0" borderId="0" xfId="0" applyNumberFormat="1" applyFont="1">
      <alignment vertical="center"/>
    </xf>
    <xf numFmtId="1" fontId="0" fillId="37" borderId="0" xfId="0" applyNumberFormat="1" applyFill="1">
      <alignment vertical="center"/>
    </xf>
    <xf numFmtId="0" fontId="45" fillId="0" borderId="0" xfId="0" applyFont="1" applyFill="1">
      <alignment vertical="center"/>
    </xf>
    <xf numFmtId="0" fontId="51" fillId="0" borderId="0" xfId="0" applyFont="1" applyFill="1" applyBorder="1" applyAlignment="1">
      <alignment horizontal="center" vertical="center" wrapText="1"/>
    </xf>
    <xf numFmtId="0" fontId="52" fillId="0" borderId="0" xfId="0" applyFont="1" applyFill="1">
      <alignment vertical="center"/>
    </xf>
    <xf numFmtId="0" fontId="0" fillId="33" borderId="0" xfId="0" applyFill="1">
      <alignment vertical="center"/>
    </xf>
    <xf numFmtId="0" fontId="26" fillId="33" borderId="0" xfId="0" applyFont="1" applyFill="1" applyBorder="1" applyAlignment="1">
      <alignment horizontal="center" vertical="center" wrapText="1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SITES!$L$1</c:f>
              <c:strCache>
                <c:ptCount val="1"/>
                <c:pt idx="0">
                  <c:v>MAOC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SITES!$C$2:$C$11</c:f>
              <c:strCache>
                <c:ptCount val="10"/>
                <c:pt idx="0">
                  <c:v>黄棕壤1</c:v>
                </c:pt>
                <c:pt idx="1">
                  <c:v>黑土</c:v>
                </c:pt>
                <c:pt idx="2">
                  <c:v>栗钙土</c:v>
                </c:pt>
                <c:pt idx="3">
                  <c:v>火山灰土</c:v>
                </c:pt>
                <c:pt idx="4">
                  <c:v>红壤</c:v>
                </c:pt>
                <c:pt idx="5">
                  <c:v>黄壤</c:v>
                </c:pt>
                <c:pt idx="6">
                  <c:v>棕壤</c:v>
                </c:pt>
                <c:pt idx="7">
                  <c:v>草甸土</c:v>
                </c:pt>
                <c:pt idx="8">
                  <c:v>黄棕壤2</c:v>
                </c:pt>
                <c:pt idx="9">
                  <c:v>赤红壤</c:v>
                </c:pt>
              </c:strCache>
            </c:strRef>
          </c:cat>
          <c:val>
            <c:numRef>
              <c:f>SITES!$L$2:$L$11</c:f>
              <c:numCache>
                <c:formatCode>General</c:formatCode>
                <c:ptCount val="10"/>
                <c:pt idx="0">
                  <c:v>6.1017872730000002</c:v>
                </c:pt>
                <c:pt idx="1">
                  <c:v>24.914421130000001</c:v>
                </c:pt>
                <c:pt idx="2">
                  <c:v>7.6987623090000001</c:v>
                </c:pt>
                <c:pt idx="3">
                  <c:v>56.273082870000003</c:v>
                </c:pt>
                <c:pt idx="4">
                  <c:v>5.2908770389999997</c:v>
                </c:pt>
                <c:pt idx="5">
                  <c:v>4.4009884809999997</c:v>
                </c:pt>
                <c:pt idx="6">
                  <c:v>67.705388119999995</c:v>
                </c:pt>
                <c:pt idx="7">
                  <c:v>35.505668419999999</c:v>
                </c:pt>
                <c:pt idx="8">
                  <c:v>10.390437439999999</c:v>
                </c:pt>
                <c:pt idx="9">
                  <c:v>48.612446990000002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E-48F3-9DB0-23C73A4F4B6F}"/>
            </c:ext>
          </c:extLst>
        </c:ser>
        <c:ser>
          <c:idx val="1"/>
          <c:order val="1"/>
          <c:tx>
            <c:strRef>
              <c:f>SITES!$Y$1</c:f>
              <c:strCache>
                <c:ptCount val="1"/>
                <c:pt idx="0">
                  <c:v>claysilt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SITES!$Y$2:$Y$11</c:f>
              <c:numCache>
                <c:formatCode>General</c:formatCode>
                <c:ptCount val="10"/>
                <c:pt idx="0">
                  <c:v>55.369179333333335</c:v>
                </c:pt>
                <c:pt idx="1">
                  <c:v>42.565676333333329</c:v>
                </c:pt>
                <c:pt idx="2">
                  <c:v>25.205540666666668</c:v>
                </c:pt>
                <c:pt idx="3">
                  <c:v>62.613185999999999</c:v>
                </c:pt>
                <c:pt idx="4">
                  <c:v>76.589109666666658</c:v>
                </c:pt>
                <c:pt idx="5">
                  <c:v>11.484393333333333</c:v>
                </c:pt>
                <c:pt idx="6">
                  <c:v>86.936152333333325</c:v>
                </c:pt>
                <c:pt idx="7">
                  <c:v>70.456474999999998</c:v>
                </c:pt>
                <c:pt idx="8">
                  <c:v>51.187165</c:v>
                </c:pt>
                <c:pt idx="9">
                  <c:v>65.586189666666655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E-48F3-9DB0-23C73A4F4B6F}"/>
            </c:ext>
          </c:extLst>
        </c:ser>
        <c:ser>
          <c:idx val="2"/>
          <c:order val="2"/>
          <c:tx>
            <c:strRef>
              <c:f>SITES!$O$1</c:f>
              <c:strCache>
                <c:ptCount val="1"/>
                <c:pt idx="0">
                  <c:v>Qmax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SITES!$O$2:$O$11</c:f>
              <c:numCache>
                <c:formatCode>0</c:formatCode>
                <c:ptCount val="10"/>
                <c:pt idx="0">
                  <c:v>47.617494226666665</c:v>
                </c:pt>
                <c:pt idx="1">
                  <c:v>36.606481646666666</c:v>
                </c:pt>
                <c:pt idx="2">
                  <c:v>21.676764973333334</c:v>
                </c:pt>
                <c:pt idx="3">
                  <c:v>53.847339959999999</c:v>
                </c:pt>
                <c:pt idx="4">
                  <c:v>36.762772639999994</c:v>
                </c:pt>
                <c:pt idx="5">
                  <c:v>5.5125088</c:v>
                </c:pt>
                <c:pt idx="6">
                  <c:v>74.765091006666665</c:v>
                </c:pt>
                <c:pt idx="7">
                  <c:v>60.592568499999999</c:v>
                </c:pt>
                <c:pt idx="8">
                  <c:v>44.020961899999996</c:v>
                </c:pt>
                <c:pt idx="9">
                  <c:v>31.481371039999992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7E-48F3-9DB0-23C73A4F4B6F}"/>
            </c:ext>
          </c:extLst>
        </c:ser>
        <c:ser>
          <c:idx val="3"/>
          <c:order val="3"/>
          <c:tx>
            <c:strRef>
              <c:f>SITES!$J$1</c:f>
              <c:strCache>
                <c:ptCount val="1"/>
                <c:pt idx="0">
                  <c:v>SOC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SITES!$J$2:$J$11</c:f>
              <c:numCache>
                <c:formatCode>General</c:formatCode>
                <c:ptCount val="10"/>
                <c:pt idx="0">
                  <c:v>6.8884134602511642</c:v>
                </c:pt>
                <c:pt idx="1">
                  <c:v>28.361694571283618</c:v>
                </c:pt>
                <c:pt idx="2">
                  <c:v>10.634680496088141</c:v>
                </c:pt>
                <c:pt idx="3">
                  <c:v>53.479634200710812</c:v>
                </c:pt>
                <c:pt idx="4">
                  <c:v>6.7250291918241478</c:v>
                </c:pt>
                <c:pt idx="5">
                  <c:v>17.612714194555952</c:v>
                </c:pt>
                <c:pt idx="6">
                  <c:v>93.6</c:v>
                </c:pt>
                <c:pt idx="7">
                  <c:v>39.75</c:v>
                </c:pt>
                <c:pt idx="8">
                  <c:v>13.6</c:v>
                </c:pt>
                <c:pt idx="9">
                  <c:v>71.849999999999994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A-4ACA-B7B6-2DFD2943B777}"/>
            </c:ext>
          </c:extLst>
        </c:ser>
        <c:ser>
          <c:idx val="4"/>
          <c:order val="4"/>
          <c:tx>
            <c:strRef>
              <c:f>SITES!$K$1</c:f>
              <c:strCache>
                <c:ptCount val="1"/>
                <c:pt idx="0">
                  <c:v>POC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SITES!$K$2:$K$11</c:f>
              <c:numCache>
                <c:formatCode>General</c:formatCode>
                <c:ptCount val="10"/>
                <c:pt idx="0">
                  <c:v>0.37112420792079298</c:v>
                </c:pt>
                <c:pt idx="1">
                  <c:v>5.7682061718750104</c:v>
                </c:pt>
                <c:pt idx="2">
                  <c:v>0.91382600258732105</c:v>
                </c:pt>
                <c:pt idx="3">
                  <c:v>10.3745122576867</c:v>
                </c:pt>
                <c:pt idx="4">
                  <c:v>0.19547056768559001</c:v>
                </c:pt>
                <c:pt idx="5">
                  <c:v>2.3363310648030402</c:v>
                </c:pt>
                <c:pt idx="6">
                  <c:v>9.4601773749999598</c:v>
                </c:pt>
                <c:pt idx="7">
                  <c:v>3.2156316019417202</c:v>
                </c:pt>
                <c:pt idx="8">
                  <c:v>3.1290955751682898</c:v>
                </c:pt>
                <c:pt idx="9">
                  <c:v>13.6724508965785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A-4ACA-B7B6-2DFD2943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637024"/>
        <c:axId val="914644096"/>
      </c:barChart>
      <c:catAx>
        <c:axId val="9146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644096"/>
        <c:crosses val="autoZero"/>
        <c:auto val="1"/>
        <c:lblAlgn val="ctr"/>
        <c:lblOffset val="100"/>
        <c:noMultiLvlLbl val="0"/>
      </c:catAx>
      <c:valAx>
        <c:axId val="9146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6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SITES!$N$1</c:f>
              <c:strCache>
                <c:ptCount val="1"/>
                <c:pt idx="0">
                  <c:v>DOC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SITES!$C$2:$C$11</c:f>
              <c:strCache>
                <c:ptCount val="10"/>
                <c:pt idx="0">
                  <c:v>黄棕壤1</c:v>
                </c:pt>
                <c:pt idx="1">
                  <c:v>黑土</c:v>
                </c:pt>
                <c:pt idx="2">
                  <c:v>栗钙土</c:v>
                </c:pt>
                <c:pt idx="3">
                  <c:v>火山灰土</c:v>
                </c:pt>
                <c:pt idx="4">
                  <c:v>红壤</c:v>
                </c:pt>
                <c:pt idx="5">
                  <c:v>黄壤</c:v>
                </c:pt>
                <c:pt idx="6">
                  <c:v>棕壤</c:v>
                </c:pt>
                <c:pt idx="7">
                  <c:v>草甸土</c:v>
                </c:pt>
                <c:pt idx="8">
                  <c:v>黄棕壤2</c:v>
                </c:pt>
                <c:pt idx="9">
                  <c:v>赤红壤</c:v>
                </c:pt>
              </c:strCache>
            </c:strRef>
          </c:cat>
          <c:val>
            <c:numRef>
              <c:f>SITES!$N$2:$N$11</c:f>
              <c:numCache>
                <c:formatCode>General</c:formatCode>
                <c:ptCount val="10"/>
                <c:pt idx="0">
                  <c:v>8.8252600203228115E-2</c:v>
                </c:pt>
                <c:pt idx="1">
                  <c:v>6.4582437702556506E-2</c:v>
                </c:pt>
                <c:pt idx="2">
                  <c:v>5.5561974448766913E-2</c:v>
                </c:pt>
                <c:pt idx="3">
                  <c:v>8.6205294426662707E-2</c:v>
                </c:pt>
                <c:pt idx="4">
                  <c:v>0.135439878585836</c:v>
                </c:pt>
                <c:pt idx="5">
                  <c:v>0.11442213550239666</c:v>
                </c:pt>
                <c:pt idx="6">
                  <c:v>0.51068014872040446</c:v>
                </c:pt>
                <c:pt idx="7">
                  <c:v>0.23347681762170791</c:v>
                </c:pt>
                <c:pt idx="8">
                  <c:v>0.13624062492925051</c:v>
                </c:pt>
                <c:pt idx="9">
                  <c:v>0.41317497019737431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7A0-91BD-F7B226965491}"/>
            </c:ext>
          </c:extLst>
        </c:ser>
        <c:ser>
          <c:idx val="1"/>
          <c:order val="1"/>
          <c:tx>
            <c:strRef>
              <c:f>SITES!$M$1</c:f>
              <c:strCache>
                <c:ptCount val="1"/>
                <c:pt idx="0">
                  <c:v>MBC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SITES!$M$2:$M$11</c:f>
              <c:numCache>
                <c:formatCode>General</c:formatCode>
                <c:ptCount val="10"/>
                <c:pt idx="0">
                  <c:v>6.443519749655878E-2</c:v>
                </c:pt>
                <c:pt idx="1">
                  <c:v>0.40710470656129227</c:v>
                </c:pt>
                <c:pt idx="2">
                  <c:v>0.21222574914168446</c:v>
                </c:pt>
                <c:pt idx="3">
                  <c:v>0.5147528426627882</c:v>
                </c:pt>
                <c:pt idx="4">
                  <c:v>0.11607105582256995</c:v>
                </c:pt>
                <c:pt idx="5">
                  <c:v>0.25525305335591281</c:v>
                </c:pt>
                <c:pt idx="6">
                  <c:v>0.98564873057728108</c:v>
                </c:pt>
                <c:pt idx="7">
                  <c:v>0.47434464925833864</c:v>
                </c:pt>
                <c:pt idx="8">
                  <c:v>0.1559363101911804</c:v>
                </c:pt>
                <c:pt idx="9">
                  <c:v>0.81013855063808127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2-47A0-91BD-F7B226965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301552"/>
        <c:axId val="913299472"/>
      </c:barChart>
      <c:catAx>
        <c:axId val="91330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3299472"/>
        <c:crosses val="autoZero"/>
        <c:auto val="1"/>
        <c:lblAlgn val="ctr"/>
        <c:lblOffset val="100"/>
        <c:noMultiLvlLbl val="0"/>
      </c:catAx>
      <c:valAx>
        <c:axId val="9132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33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SITES!$AT$1</c:f>
              <c:strCache>
                <c:ptCount val="1"/>
                <c:pt idx="0">
                  <c:v>CUE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SITES!$C$2:$C$11</c:f>
              <c:strCache>
                <c:ptCount val="10"/>
                <c:pt idx="0">
                  <c:v>黄棕壤1</c:v>
                </c:pt>
                <c:pt idx="1">
                  <c:v>黑土</c:v>
                </c:pt>
                <c:pt idx="2">
                  <c:v>栗钙土</c:v>
                </c:pt>
                <c:pt idx="3">
                  <c:v>火山灰土</c:v>
                </c:pt>
                <c:pt idx="4">
                  <c:v>红壤</c:v>
                </c:pt>
                <c:pt idx="5">
                  <c:v>黄壤</c:v>
                </c:pt>
                <c:pt idx="6">
                  <c:v>棕壤</c:v>
                </c:pt>
                <c:pt idx="7">
                  <c:v>草甸土</c:v>
                </c:pt>
                <c:pt idx="8">
                  <c:v>黄棕壤2</c:v>
                </c:pt>
                <c:pt idx="9">
                  <c:v>赤红壤</c:v>
                </c:pt>
              </c:strCache>
            </c:strRef>
          </c:cat>
          <c:val>
            <c:numRef>
              <c:f>SITES!$AT$2:$AT$11</c:f>
              <c:numCache>
                <c:formatCode>0.000</c:formatCode>
                <c:ptCount val="10"/>
                <c:pt idx="0">
                  <c:v>0.20542228061732731</c:v>
                </c:pt>
                <c:pt idx="1">
                  <c:v>0.5117528912703051</c:v>
                </c:pt>
                <c:pt idx="2">
                  <c:v>0.36729877449910631</c:v>
                </c:pt>
                <c:pt idx="3">
                  <c:v>0.4547811975437217</c:v>
                </c:pt>
                <c:pt idx="4">
                  <c:v>0.20290120067367903</c:v>
                </c:pt>
                <c:pt idx="5">
                  <c:v>0.21467985291040487</c:v>
                </c:pt>
                <c:pt idx="6">
                  <c:v>0.29207974618038324</c:v>
                </c:pt>
                <c:pt idx="7">
                  <c:v>0.44126059534593076</c:v>
                </c:pt>
                <c:pt idx="8">
                  <c:v>0.20465194813454596</c:v>
                </c:pt>
                <c:pt idx="9">
                  <c:v>0.16697721897664236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D-4F93-B801-D0EA4BCA7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716479"/>
        <c:axId val="1695720223"/>
      </c:barChart>
      <c:catAx>
        <c:axId val="169571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720223"/>
        <c:crosses val="autoZero"/>
        <c:auto val="1"/>
        <c:lblAlgn val="ctr"/>
        <c:lblOffset val="100"/>
        <c:noMultiLvlLbl val="0"/>
      </c:catAx>
      <c:valAx>
        <c:axId val="169572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71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Sheet4!$I$1</c:f>
              <c:strCache>
                <c:ptCount val="1"/>
                <c:pt idx="0">
                  <c:v>MAOC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Sheet4!$H$2:$H$11</c:f>
              <c:numCache>
                <c:formatCode>General</c:formatCode>
                <c:ptCount val="10"/>
                <c:pt idx="0">
                  <c:v>5.7682061718750104</c:v>
                </c:pt>
                <c:pt idx="1">
                  <c:v>0.91382600258732105</c:v>
                </c:pt>
                <c:pt idx="2">
                  <c:v>3.2156316019417202</c:v>
                </c:pt>
                <c:pt idx="3">
                  <c:v>3.1290955751682898</c:v>
                </c:pt>
                <c:pt idx="4">
                  <c:v>13.6724508965785</c:v>
                </c:pt>
                <c:pt idx="5">
                  <c:v>0.37112420792079298</c:v>
                </c:pt>
                <c:pt idx="6">
                  <c:v>10.3745122576867</c:v>
                </c:pt>
                <c:pt idx="7">
                  <c:v>0.19547056768559001</c:v>
                </c:pt>
                <c:pt idx="8">
                  <c:v>2.3363310648030402</c:v>
                </c:pt>
                <c:pt idx="9">
                  <c:v>9.4601773749999598</c:v>
                </c:pt>
              </c:numCache>
            </c:numRef>
          </c:xVal>
          <c:yVal>
            <c:numRef>
              <c:f>Sheet4!$I$2:$I$11</c:f>
              <c:numCache>
                <c:formatCode>General</c:formatCode>
                <c:ptCount val="10"/>
                <c:pt idx="0">
                  <c:v>24.914421130000001</c:v>
                </c:pt>
                <c:pt idx="1">
                  <c:v>7.6987623090000001</c:v>
                </c:pt>
                <c:pt idx="2">
                  <c:v>35.505668419999999</c:v>
                </c:pt>
                <c:pt idx="3">
                  <c:v>10.390437439999999</c:v>
                </c:pt>
                <c:pt idx="4">
                  <c:v>48.612446990000002</c:v>
                </c:pt>
                <c:pt idx="5">
                  <c:v>6.1017872730000002</c:v>
                </c:pt>
                <c:pt idx="6">
                  <c:v>56.273082870000003</c:v>
                </c:pt>
                <c:pt idx="7">
                  <c:v>5.2908770389999997</c:v>
                </c:pt>
                <c:pt idx="8">
                  <c:v>4.4009884809999997</c:v>
                </c:pt>
                <c:pt idx="9">
                  <c:v>67.705388119999995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B-40CC-A3D2-062E7C89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710768"/>
        <c:axId val="1271708688"/>
      </c:scatterChart>
      <c:valAx>
        <c:axId val="127171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708688"/>
        <c:crosses val="autoZero"/>
        <c:crossBetween val="midCat"/>
      </c:valAx>
      <c:valAx>
        <c:axId val="12717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71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Sheet4!$J$1</c:f>
              <c:strCache>
                <c:ptCount val="1"/>
                <c:pt idx="0">
                  <c:v>MBC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Sheet4!$I$2:$I$11</c:f>
              <c:numCache>
                <c:formatCode>General</c:formatCode>
                <c:ptCount val="10"/>
                <c:pt idx="0">
                  <c:v>24.914421130000001</c:v>
                </c:pt>
                <c:pt idx="1">
                  <c:v>7.6987623090000001</c:v>
                </c:pt>
                <c:pt idx="2">
                  <c:v>35.505668419999999</c:v>
                </c:pt>
                <c:pt idx="3">
                  <c:v>10.390437439999999</c:v>
                </c:pt>
                <c:pt idx="4">
                  <c:v>48.612446990000002</c:v>
                </c:pt>
                <c:pt idx="5">
                  <c:v>6.1017872730000002</c:v>
                </c:pt>
                <c:pt idx="6">
                  <c:v>56.273082870000003</c:v>
                </c:pt>
                <c:pt idx="7">
                  <c:v>5.2908770389999997</c:v>
                </c:pt>
                <c:pt idx="8">
                  <c:v>4.4009884809999997</c:v>
                </c:pt>
                <c:pt idx="9">
                  <c:v>67.705388119999995</c:v>
                </c:pt>
              </c:numCache>
            </c:numRef>
          </c:xVal>
          <c:yVal>
            <c:numRef>
              <c:f>Sheet4!$J$2:$J$11</c:f>
              <c:numCache>
                <c:formatCode>0.00</c:formatCode>
                <c:ptCount val="10"/>
                <c:pt idx="0">
                  <c:v>0.40710470656129227</c:v>
                </c:pt>
                <c:pt idx="1">
                  <c:v>0.21222574914168446</c:v>
                </c:pt>
                <c:pt idx="2">
                  <c:v>0.47434464925833864</c:v>
                </c:pt>
                <c:pt idx="3">
                  <c:v>0.1559363101911804</c:v>
                </c:pt>
                <c:pt idx="4">
                  <c:v>0.81013855063808127</c:v>
                </c:pt>
                <c:pt idx="5">
                  <c:v>6.443519749655878E-2</c:v>
                </c:pt>
                <c:pt idx="6">
                  <c:v>0.5147528426627882</c:v>
                </c:pt>
                <c:pt idx="7">
                  <c:v>0.11607105582256995</c:v>
                </c:pt>
                <c:pt idx="8">
                  <c:v>0.25525305335591281</c:v>
                </c:pt>
                <c:pt idx="9">
                  <c:v>0.98564873057728108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C-49E8-88D6-FB2709733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707024"/>
        <c:axId val="1271702032"/>
      </c:scatterChart>
      <c:valAx>
        <c:axId val="127170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702032"/>
        <c:crosses val="autoZero"/>
        <c:crossBetween val="midCat"/>
      </c:valAx>
      <c:valAx>
        <c:axId val="127170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70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Sheet4!$K$1</c:f>
              <c:strCache>
                <c:ptCount val="1"/>
                <c:pt idx="0">
                  <c:v>DOC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Sheet4!$I$2:$I$11</c:f>
              <c:numCache>
                <c:formatCode>General</c:formatCode>
                <c:ptCount val="10"/>
                <c:pt idx="0">
                  <c:v>24.914421130000001</c:v>
                </c:pt>
                <c:pt idx="1">
                  <c:v>7.6987623090000001</c:v>
                </c:pt>
                <c:pt idx="2">
                  <c:v>35.505668419999999</c:v>
                </c:pt>
                <c:pt idx="3">
                  <c:v>10.390437439999999</c:v>
                </c:pt>
                <c:pt idx="4">
                  <c:v>48.612446990000002</c:v>
                </c:pt>
                <c:pt idx="5">
                  <c:v>6.1017872730000002</c:v>
                </c:pt>
                <c:pt idx="6">
                  <c:v>56.273082870000003</c:v>
                </c:pt>
                <c:pt idx="7">
                  <c:v>5.2908770389999997</c:v>
                </c:pt>
                <c:pt idx="8">
                  <c:v>4.4009884809999997</c:v>
                </c:pt>
                <c:pt idx="9">
                  <c:v>67.705388119999995</c:v>
                </c:pt>
              </c:numCache>
            </c:numRef>
          </c:xVal>
          <c:yVal>
            <c:numRef>
              <c:f>Sheet4!$K$2:$K$11</c:f>
              <c:numCache>
                <c:formatCode>General</c:formatCode>
                <c:ptCount val="10"/>
                <c:pt idx="0">
                  <c:v>6.4582437702556506E-2</c:v>
                </c:pt>
                <c:pt idx="1">
                  <c:v>5.5561974448766913E-2</c:v>
                </c:pt>
                <c:pt idx="2">
                  <c:v>0.23347681762170791</c:v>
                </c:pt>
                <c:pt idx="3">
                  <c:v>0.13624062492925051</c:v>
                </c:pt>
                <c:pt idx="4">
                  <c:v>0.41317497019737431</c:v>
                </c:pt>
                <c:pt idx="5">
                  <c:v>8.8252600203228115E-2</c:v>
                </c:pt>
                <c:pt idx="6">
                  <c:v>8.6205294426662707E-2</c:v>
                </c:pt>
                <c:pt idx="7">
                  <c:v>0.135439878585836</c:v>
                </c:pt>
                <c:pt idx="8">
                  <c:v>0.11442213550239666</c:v>
                </c:pt>
                <c:pt idx="9">
                  <c:v>0.51068014872040446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AB-4C2E-9E19-B209C8EEF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702448"/>
        <c:axId val="1271707856"/>
      </c:scatterChart>
      <c:valAx>
        <c:axId val="127170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707856"/>
        <c:crosses val="autoZero"/>
        <c:crossBetween val="midCat"/>
      </c:valAx>
      <c:valAx>
        <c:axId val="12717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70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</xdr:row>
      <xdr:rowOff>107956</xdr:rowOff>
    </xdr:from>
    <xdr:to>
      <xdr:col>8</xdr:col>
      <xdr:colOff>422275</xdr:colOff>
      <xdr:row>28</xdr:row>
      <xdr:rowOff>6356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14</xdr:row>
      <xdr:rowOff>114306</xdr:rowOff>
    </xdr:from>
    <xdr:to>
      <xdr:col>18</xdr:col>
      <xdr:colOff>34925</xdr:colOff>
      <xdr:row>30</xdr:row>
      <xdr:rowOff>12706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631825</xdr:colOff>
      <xdr:row>11</xdr:row>
      <xdr:rowOff>31756</xdr:rowOff>
    </xdr:from>
    <xdr:to>
      <xdr:col>39</xdr:col>
      <xdr:colOff>581025</xdr:colOff>
      <xdr:row>26</xdr:row>
      <xdr:rowOff>107956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534702</xdr:colOff>
      <xdr:row>15</xdr:row>
      <xdr:rowOff>139700</xdr:rowOff>
    </xdr:from>
    <xdr:to>
      <xdr:col>16</xdr:col>
      <xdr:colOff>608599</xdr:colOff>
      <xdr:row>21</xdr:row>
      <xdr:rowOff>3036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8852" y="2844800"/>
          <a:ext cx="6677897" cy="9301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11</xdr:row>
      <xdr:rowOff>174625</xdr:rowOff>
    </xdr:from>
    <xdr:to>
      <xdr:col>15</xdr:col>
      <xdr:colOff>9525</xdr:colOff>
      <xdr:row>27</xdr:row>
      <xdr:rowOff>73025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511175</xdr:colOff>
      <xdr:row>11</xdr:row>
      <xdr:rowOff>155575</xdr:rowOff>
    </xdr:from>
    <xdr:to>
      <xdr:col>7</xdr:col>
      <xdr:colOff>460375</xdr:colOff>
      <xdr:row>27</xdr:row>
      <xdr:rowOff>53975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574675</xdr:colOff>
      <xdr:row>17</xdr:row>
      <xdr:rowOff>66675</xdr:rowOff>
    </xdr:from>
    <xdr:to>
      <xdr:col>7</xdr:col>
      <xdr:colOff>523875</xdr:colOff>
      <xdr:row>32</xdr:row>
      <xdr:rowOff>142875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abSelected="1" workbookViewId="0">
      <pane ySplit="1" topLeftCell="A2" activePane="bottomLeft" state="frozen"/>
      <selection activeCell="P1" sqref="P1"/>
      <selection pane="bottomLeft" activeCell="M1" sqref="M1:M1048576"/>
    </sheetView>
  </sheetViews>
  <sheetFormatPr defaultRowHeight="14"/>
  <cols>
    <col min="6" max="6" width="11.5" customWidth="1"/>
    <col min="23" max="23" width="12.75" customWidth="1"/>
  </cols>
  <sheetData>
    <row r="1" spans="1:48">
      <c r="A1" t="s">
        <v>135</v>
      </c>
      <c r="B1" t="s">
        <v>136</v>
      </c>
      <c r="C1" t="s">
        <v>0</v>
      </c>
      <c r="D1" s="126" t="s">
        <v>165</v>
      </c>
      <c r="E1" s="126" t="s">
        <v>166</v>
      </c>
      <c r="F1" s="126" t="s">
        <v>179</v>
      </c>
      <c r="G1" t="s">
        <v>1</v>
      </c>
      <c r="H1" t="s">
        <v>2</v>
      </c>
      <c r="I1" t="s">
        <v>3</v>
      </c>
      <c r="J1" s="6" t="s">
        <v>4</v>
      </c>
      <c r="K1" s="6" t="s">
        <v>56</v>
      </c>
      <c r="L1" s="95" t="s">
        <v>57</v>
      </c>
      <c r="M1" s="6" t="s">
        <v>33</v>
      </c>
      <c r="N1" s="6" t="s">
        <v>34</v>
      </c>
      <c r="O1" s="95" t="s">
        <v>145</v>
      </c>
      <c r="P1" s="6" t="s">
        <v>139</v>
      </c>
      <c r="Q1" s="6" t="s">
        <v>140</v>
      </c>
      <c r="R1" s="6" t="s">
        <v>141</v>
      </c>
      <c r="S1" s="6" t="s">
        <v>142</v>
      </c>
      <c r="T1" s="18" t="s">
        <v>60</v>
      </c>
      <c r="U1" s="18" t="s">
        <v>164</v>
      </c>
      <c r="V1" t="s">
        <v>27</v>
      </c>
      <c r="W1" t="s">
        <v>5</v>
      </c>
      <c r="X1" s="8" t="s">
        <v>157</v>
      </c>
      <c r="Y1" t="s">
        <v>137</v>
      </c>
      <c r="Z1" t="s">
        <v>158</v>
      </c>
      <c r="AA1" t="s">
        <v>180</v>
      </c>
      <c r="AB1" t="s">
        <v>144</v>
      </c>
      <c r="AC1" s="14" t="s">
        <v>62</v>
      </c>
      <c r="AD1" s="14" t="s">
        <v>64</v>
      </c>
      <c r="AE1" s="8" t="s">
        <v>88</v>
      </c>
      <c r="AF1" s="8" t="s">
        <v>89</v>
      </c>
      <c r="AG1" s="8" t="s">
        <v>90</v>
      </c>
      <c r="AH1" s="8" t="s">
        <v>91</v>
      </c>
      <c r="AI1" s="8" t="s">
        <v>92</v>
      </c>
      <c r="AJ1" s="8" t="s">
        <v>146</v>
      </c>
      <c r="AK1" s="8" t="s">
        <v>147</v>
      </c>
      <c r="AM1" s="8" t="s">
        <v>153</v>
      </c>
      <c r="AN1" s="8" t="s">
        <v>154</v>
      </c>
      <c r="AP1" s="8" t="s">
        <v>148</v>
      </c>
      <c r="AQ1" s="8" t="s">
        <v>149</v>
      </c>
      <c r="AR1" s="8" t="s">
        <v>150</v>
      </c>
      <c r="AS1" s="8" t="s">
        <v>151</v>
      </c>
      <c r="AT1" s="8" t="s">
        <v>152</v>
      </c>
      <c r="AU1" s="8" t="s">
        <v>155</v>
      </c>
      <c r="AV1" s="8" t="s">
        <v>156</v>
      </c>
    </row>
    <row r="2" spans="1:48" s="102" customFormat="1">
      <c r="A2" s="102">
        <v>1</v>
      </c>
      <c r="B2" s="102">
        <v>20</v>
      </c>
      <c r="C2" s="102" t="s">
        <v>50</v>
      </c>
      <c r="D2" s="123">
        <v>113.24</v>
      </c>
      <c r="E2" s="123">
        <v>30.86</v>
      </c>
      <c r="F2" s="123">
        <v>1</v>
      </c>
      <c r="G2" s="102" t="s">
        <v>12</v>
      </c>
      <c r="H2" s="102">
        <v>7</v>
      </c>
      <c r="I2" s="102" t="s">
        <v>13</v>
      </c>
      <c r="J2" s="102">
        <v>6.8884134602511642</v>
      </c>
      <c r="K2" s="102">
        <v>0.37112420792079298</v>
      </c>
      <c r="L2" s="102">
        <v>6.1017872730000002</v>
      </c>
      <c r="M2" s="103">
        <v>6.443519749655878E-2</v>
      </c>
      <c r="N2" s="103">
        <v>8.8252600203228115E-2</v>
      </c>
      <c r="O2" s="104">
        <v>47.617494226666665</v>
      </c>
      <c r="P2" s="104">
        <f t="shared" ref="P2:P11" si="0">K2/SUM($K2:$N2)*100</f>
        <v>5.6013681527395258</v>
      </c>
      <c r="Q2" s="104">
        <f t="shared" ref="Q2:Q11" si="1">L2/SUM($K2:$N2)*100</f>
        <v>92.094118832226826</v>
      </c>
      <c r="R2" s="104">
        <f t="shared" ref="R2:R11" si="2">M2/SUM($K2:$N2)*100</f>
        <v>0.9725187833873028</v>
      </c>
      <c r="S2" s="104">
        <f t="shared" ref="S2:S11" si="3">N2/SUM($K2:$N2)*100</f>
        <v>1.3319942316463471</v>
      </c>
      <c r="T2" s="105">
        <v>3.221759874827939E-2</v>
      </c>
      <c r="U2" s="106">
        <v>94.846068596564805</v>
      </c>
      <c r="V2" s="107">
        <v>1345.0000000000002</v>
      </c>
      <c r="W2" s="102">
        <v>6.43</v>
      </c>
      <c r="X2" s="108">
        <v>48.938436333333335</v>
      </c>
      <c r="Y2" s="103">
        <v>55.369179333333335</v>
      </c>
      <c r="Z2" s="103" t="s">
        <v>159</v>
      </c>
      <c r="AA2" s="102">
        <v>15</v>
      </c>
      <c r="AB2" s="109">
        <v>0.31645962732919197</v>
      </c>
      <c r="AC2" s="110">
        <v>6.7766666666666664</v>
      </c>
      <c r="AD2" s="110">
        <v>0.46562500000000001</v>
      </c>
      <c r="AE2" s="111">
        <v>2.71496536561403</v>
      </c>
      <c r="AF2" s="111">
        <v>2.6737765328524898</v>
      </c>
      <c r="AG2" s="111">
        <v>18.233792627622002</v>
      </c>
      <c r="AH2" s="111">
        <v>0.254542073589482</v>
      </c>
      <c r="AI2" s="111">
        <v>17.380246180704219</v>
      </c>
      <c r="AJ2" s="102">
        <v>1</v>
      </c>
      <c r="AK2" s="111">
        <v>0.86</v>
      </c>
      <c r="AM2" s="102">
        <f>-3.63*0.0001*AI2 +1.06*0.01</f>
        <v>4.2909706364043683E-3</v>
      </c>
      <c r="AN2" s="102">
        <f>1-(2.74*0.01*AI2+0.35)</f>
        <v>0.17378125464870431</v>
      </c>
      <c r="AP2" s="103">
        <v>1127.8597648534901</v>
      </c>
      <c r="AQ2" s="103">
        <v>16.827493520360498</v>
      </c>
      <c r="AR2" s="102">
        <f>-1.6*0.01*AQ2+1.3*0.00001*AP2+0.41</f>
        <v>0.15542228061732732</v>
      </c>
      <c r="AS2" s="102">
        <f>AR2+0.1</f>
        <v>0.2554222806173273</v>
      </c>
      <c r="AT2" s="112">
        <f>AVERAGE(AR2:AS2)</f>
        <v>0.20542228061732731</v>
      </c>
      <c r="AU2" s="113">
        <f>-3.63*0.0001*AQ2 +1.06*0.01</f>
        <v>4.491619852109139E-3</v>
      </c>
      <c r="AV2" s="114">
        <f>1-(2.74*0.01*AQ2+0.35)</f>
        <v>0.18892667754212233</v>
      </c>
    </row>
    <row r="3" spans="1:48">
      <c r="A3">
        <v>2</v>
      </c>
      <c r="B3">
        <v>19</v>
      </c>
      <c r="C3" t="s">
        <v>14</v>
      </c>
      <c r="D3" s="123">
        <v>120.1</v>
      </c>
      <c r="E3" s="123">
        <v>50.45</v>
      </c>
      <c r="F3" s="123">
        <v>3</v>
      </c>
      <c r="G3" t="s">
        <v>15</v>
      </c>
      <c r="H3">
        <v>10</v>
      </c>
      <c r="I3" t="s">
        <v>15</v>
      </c>
      <c r="J3">
        <v>28.361694571283618</v>
      </c>
      <c r="K3">
        <v>5.7682061718750104</v>
      </c>
      <c r="L3">
        <v>24.914421130000001</v>
      </c>
      <c r="M3" s="8">
        <v>0.40710470656129227</v>
      </c>
      <c r="N3" s="8">
        <v>6.4582437702556506E-2</v>
      </c>
      <c r="O3" s="29">
        <v>36.606481646666666</v>
      </c>
      <c r="P3" s="29">
        <f t="shared" si="0"/>
        <v>18.514951378074372</v>
      </c>
      <c r="Q3" s="29">
        <f t="shared" si="1"/>
        <v>79.971013880190824</v>
      </c>
      <c r="R3" s="29">
        <f t="shared" si="2"/>
        <v>1.3067362058796554</v>
      </c>
      <c r="S3" s="29">
        <f t="shared" si="3"/>
        <v>0.20729853585515373</v>
      </c>
      <c r="T3" s="19">
        <v>0.20355235328064614</v>
      </c>
      <c r="U3" s="62">
        <v>91.458991724317002</v>
      </c>
      <c r="V3" s="25">
        <v>1122.5000000000002</v>
      </c>
      <c r="W3">
        <v>2.62</v>
      </c>
      <c r="X3" s="99">
        <v>39.942479333333331</v>
      </c>
      <c r="Y3" s="8">
        <v>42.565676333333329</v>
      </c>
      <c r="Z3" s="8" t="s">
        <v>159</v>
      </c>
      <c r="AA3">
        <v>15</v>
      </c>
      <c r="AB3" s="28">
        <v>0.28520693111843037</v>
      </c>
      <c r="AC3" s="13">
        <v>6.22</v>
      </c>
      <c r="AD3" s="13">
        <v>0.52692500000000009</v>
      </c>
      <c r="AE3" s="49">
        <v>1.13748917601594</v>
      </c>
      <c r="AF3" s="49">
        <v>1.08799431854731</v>
      </c>
      <c r="AG3" s="49">
        <v>0.90517143312223403</v>
      </c>
      <c r="AH3" s="49">
        <v>0.17685790849548499</v>
      </c>
      <c r="AI3" s="49">
        <v>-1.7993987368230697</v>
      </c>
      <c r="AJ3">
        <v>1</v>
      </c>
      <c r="AK3" s="49">
        <v>0.86</v>
      </c>
      <c r="AM3">
        <f t="shared" ref="AM3:AM11" si="4">-3.63*0.0001*AI3 +1.06*0.01</f>
        <v>1.1253181741466774E-2</v>
      </c>
      <c r="AN3">
        <f t="shared" ref="AN3:AN11" si="5">1-(2.74*0.01*AI3+0.35)</f>
        <v>0.69930352538895213</v>
      </c>
      <c r="AP3" s="8">
        <v>361.907281973865</v>
      </c>
      <c r="AQ3" s="8">
        <v>-2.9405060377903101</v>
      </c>
      <c r="AR3">
        <f t="shared" ref="AR3:AR11" si="6">-1.6*0.01*AQ3+1.3*0.00001*AP3+0.41</f>
        <v>0.46175289127030517</v>
      </c>
      <c r="AS3">
        <f t="shared" ref="AS3:AS11" si="7">AR3+0.1</f>
        <v>0.56175289127030514</v>
      </c>
      <c r="AT3" s="97">
        <f t="shared" ref="AT3:AT11" si="8">AVERAGE(AR3:AS3)</f>
        <v>0.5117528912703051</v>
      </c>
      <c r="AU3" s="96">
        <f t="shared" ref="AU3:AU11" si="9">-3.63*0.0001*AQ3 +1.06*0.01</f>
        <v>1.1667403691717882E-2</v>
      </c>
      <c r="AV3" s="98">
        <f t="shared" ref="AV3:AV11" si="10">1-(2.74*0.01*AQ3+0.35)</f>
        <v>0.73056986543545455</v>
      </c>
    </row>
    <row r="4" spans="1:48">
      <c r="A4">
        <v>3</v>
      </c>
      <c r="B4">
        <v>17</v>
      </c>
      <c r="C4" t="s">
        <v>16</v>
      </c>
      <c r="D4" s="123">
        <v>118.7</v>
      </c>
      <c r="E4" s="123">
        <v>43.59</v>
      </c>
      <c r="F4" s="123">
        <v>3</v>
      </c>
      <c r="G4" t="s">
        <v>15</v>
      </c>
      <c r="H4">
        <v>10</v>
      </c>
      <c r="I4" t="s">
        <v>15</v>
      </c>
      <c r="J4">
        <v>10.634680496088141</v>
      </c>
      <c r="K4">
        <v>0.91382600258732105</v>
      </c>
      <c r="L4">
        <v>7.6987623090000001</v>
      </c>
      <c r="M4" s="8">
        <v>0.21222574914168446</v>
      </c>
      <c r="N4" s="8">
        <v>5.5561974448766913E-2</v>
      </c>
      <c r="O4" s="29">
        <v>21.676764973333334</v>
      </c>
      <c r="P4" s="29">
        <f t="shared" si="0"/>
        <v>10.290397602166715</v>
      </c>
      <c r="Q4" s="29">
        <f t="shared" si="1"/>
        <v>86.694102575194407</v>
      </c>
      <c r="R4" s="29">
        <f t="shared" si="2"/>
        <v>2.3898284070516396</v>
      </c>
      <c r="S4" s="29">
        <f t="shared" si="3"/>
        <v>0.62567141558724149</v>
      </c>
      <c r="T4" s="19">
        <v>0.10611287457084223</v>
      </c>
      <c r="U4" s="51">
        <v>90.305059146473496</v>
      </c>
      <c r="V4" s="25">
        <v>1367.5</v>
      </c>
      <c r="W4">
        <v>1.87</v>
      </c>
      <c r="X4" s="100">
        <v>23.334393333333335</v>
      </c>
      <c r="Y4" s="8">
        <v>25.205540666666668</v>
      </c>
      <c r="Z4" s="8" t="s">
        <v>160</v>
      </c>
      <c r="AA4">
        <v>15</v>
      </c>
      <c r="AB4" s="28">
        <v>0.23255022759378413</v>
      </c>
      <c r="AC4" s="13">
        <v>7.4933333333333332</v>
      </c>
      <c r="AD4" s="13">
        <v>0.45727499999999993</v>
      </c>
      <c r="AE4" s="49">
        <v>0.43245256122979903</v>
      </c>
      <c r="AF4" s="49">
        <v>0.50144037739054803</v>
      </c>
      <c r="AG4" s="49">
        <v>3.5758824826593201</v>
      </c>
      <c r="AH4" s="49">
        <v>0.115831065125162</v>
      </c>
      <c r="AI4" s="49">
        <v>2.2996554272795597</v>
      </c>
      <c r="AJ4">
        <v>1</v>
      </c>
      <c r="AK4" s="49">
        <v>0.86</v>
      </c>
      <c r="AM4">
        <f t="shared" si="4"/>
        <v>9.7652250798975198E-3</v>
      </c>
      <c r="AN4">
        <f t="shared" si="5"/>
        <v>0.58698944129254005</v>
      </c>
      <c r="AP4" s="8">
        <v>370.66728177806402</v>
      </c>
      <c r="AQ4" s="8">
        <v>6.0949937602505297</v>
      </c>
      <c r="AR4">
        <f t="shared" si="6"/>
        <v>0.31729877449910632</v>
      </c>
      <c r="AS4">
        <f t="shared" si="7"/>
        <v>0.41729877449910635</v>
      </c>
      <c r="AT4" s="97">
        <f t="shared" si="8"/>
        <v>0.36729877449910631</v>
      </c>
      <c r="AU4" s="96">
        <f t="shared" si="9"/>
        <v>8.3875172650290583E-3</v>
      </c>
      <c r="AV4" s="98">
        <f t="shared" si="10"/>
        <v>0.48299717096913541</v>
      </c>
    </row>
    <row r="5" spans="1:48" s="1" customFormat="1">
      <c r="A5" s="1">
        <v>4</v>
      </c>
      <c r="B5" s="1">
        <v>22</v>
      </c>
      <c r="C5" s="1" t="s">
        <v>17</v>
      </c>
      <c r="D5" s="123">
        <v>126.26</v>
      </c>
      <c r="E5" s="123">
        <v>48.71</v>
      </c>
      <c r="F5" s="123">
        <v>1</v>
      </c>
      <c r="G5" s="1" t="s">
        <v>12</v>
      </c>
      <c r="H5" s="1">
        <v>4</v>
      </c>
      <c r="I5" s="1" t="s">
        <v>18</v>
      </c>
      <c r="J5" s="1">
        <v>53.479634200710812</v>
      </c>
      <c r="K5" s="1">
        <v>10.3745122576867</v>
      </c>
      <c r="L5" s="1">
        <v>56.273082870000003</v>
      </c>
      <c r="M5" s="79">
        <v>0.5147528426627882</v>
      </c>
      <c r="N5" s="79">
        <v>8.6205294426662707E-2</v>
      </c>
      <c r="O5" s="84">
        <v>53.847339959999999</v>
      </c>
      <c r="P5" s="84">
        <f t="shared" si="0"/>
        <v>15.427115906626835</v>
      </c>
      <c r="Q5" s="84">
        <f t="shared" si="1"/>
        <v>83.679246821024265</v>
      </c>
      <c r="R5" s="84">
        <f t="shared" si="2"/>
        <v>0.76544820322909235</v>
      </c>
      <c r="S5" s="84">
        <f t="shared" si="3"/>
        <v>0.12818906911981975</v>
      </c>
      <c r="T5" s="80">
        <v>0.2573764213313941</v>
      </c>
      <c r="U5" s="51">
        <v>92.340618522360998</v>
      </c>
      <c r="V5" s="27">
        <v>1087.5000000000002</v>
      </c>
      <c r="W5" s="1">
        <v>6.12</v>
      </c>
      <c r="X5" s="100">
        <v>56.490472500000003</v>
      </c>
      <c r="Y5" s="79">
        <v>62.613185999999999</v>
      </c>
      <c r="Z5" s="79" t="s">
        <v>162</v>
      </c>
      <c r="AA5" s="1">
        <v>15</v>
      </c>
      <c r="AB5" s="81">
        <v>0.39124831536388127</v>
      </c>
      <c r="AC5" s="82">
        <v>5.9666666666666659</v>
      </c>
      <c r="AD5" s="82">
        <v>0.54125000000000001</v>
      </c>
      <c r="AE5" s="70">
        <v>1.63880798898586</v>
      </c>
      <c r="AF5" s="70">
        <v>1.2531832848101401</v>
      </c>
      <c r="AG5" s="70">
        <v>3.3555290878505302</v>
      </c>
      <c r="AH5" s="70">
        <v>0.26825352056778701</v>
      </c>
      <c r="AI5" s="70">
        <v>1.2640760949539971</v>
      </c>
      <c r="AJ5" s="1">
        <v>1</v>
      </c>
      <c r="AK5" s="70">
        <v>0.9</v>
      </c>
      <c r="AM5">
        <f t="shared" si="4"/>
        <v>1.0141140377531698E-2</v>
      </c>
      <c r="AN5">
        <f t="shared" si="5"/>
        <v>0.6153643149982605</v>
      </c>
      <c r="AP5" s="8">
        <v>540.39227798441402</v>
      </c>
      <c r="AQ5" s="8">
        <v>0.76524387937972704</v>
      </c>
      <c r="AR5">
        <f t="shared" si="6"/>
        <v>0.40478119754372172</v>
      </c>
      <c r="AS5">
        <f t="shared" si="7"/>
        <v>0.50478119754372175</v>
      </c>
      <c r="AT5" s="97">
        <f t="shared" si="8"/>
        <v>0.4547811975437217</v>
      </c>
      <c r="AU5" s="96">
        <f t="shared" si="9"/>
        <v>1.032221647178516E-2</v>
      </c>
      <c r="AV5" s="98">
        <f t="shared" si="10"/>
        <v>0.62903231770499546</v>
      </c>
    </row>
    <row r="6" spans="1:48" s="15" customFormat="1">
      <c r="A6">
        <v>5</v>
      </c>
      <c r="B6">
        <v>18</v>
      </c>
      <c r="C6" s="15" t="s">
        <v>19</v>
      </c>
      <c r="D6" s="123">
        <v>113.82</v>
      </c>
      <c r="E6" s="123">
        <v>27.72</v>
      </c>
      <c r="F6" s="123">
        <v>1</v>
      </c>
      <c r="G6" s="15" t="s">
        <v>12</v>
      </c>
      <c r="H6" s="15">
        <v>2</v>
      </c>
      <c r="I6" s="15" t="s">
        <v>20</v>
      </c>
      <c r="J6" s="15">
        <v>6.7250291918241478</v>
      </c>
      <c r="K6" s="15">
        <v>0.19547056768559001</v>
      </c>
      <c r="L6" s="15">
        <v>5.2908770389999997</v>
      </c>
      <c r="M6" s="8">
        <v>0.11607105582256995</v>
      </c>
      <c r="N6" s="8">
        <v>0.135439878585836</v>
      </c>
      <c r="O6" s="29">
        <v>36.762772639999994</v>
      </c>
      <c r="P6" s="29">
        <f t="shared" si="0"/>
        <v>3.4066815395612919</v>
      </c>
      <c r="Q6" s="29">
        <f t="shared" si="1"/>
        <v>92.209959536423597</v>
      </c>
      <c r="R6" s="29">
        <f t="shared" si="2"/>
        <v>2.0228985254913501</v>
      </c>
      <c r="S6" s="29">
        <f t="shared" si="3"/>
        <v>2.3604603985237436</v>
      </c>
      <c r="T6" s="19">
        <v>5.8035527911284975E-2</v>
      </c>
      <c r="U6" s="62">
        <v>94.462911854869702</v>
      </c>
      <c r="V6" s="26">
        <v>1247.5000000000002</v>
      </c>
      <c r="W6" s="15">
        <v>9.25</v>
      </c>
      <c r="X6" s="100">
        <v>67.337193666666664</v>
      </c>
      <c r="Y6" s="8">
        <v>76.589109666666658</v>
      </c>
      <c r="Z6" s="101" t="s">
        <v>161</v>
      </c>
      <c r="AA6">
        <v>15</v>
      </c>
      <c r="AB6" s="28">
        <v>0.2464281274535709</v>
      </c>
      <c r="AC6" s="17">
        <v>4.1333333333333329</v>
      </c>
      <c r="AD6" s="17">
        <v>0.49447499999999989</v>
      </c>
      <c r="AE6" s="49">
        <v>1.8600638852620599</v>
      </c>
      <c r="AF6" s="49">
        <v>1.6703106140437201</v>
      </c>
      <c r="AG6" s="49">
        <v>19.805455552192601</v>
      </c>
      <c r="AH6" s="49">
        <v>0.29329412177695002</v>
      </c>
      <c r="AI6" s="49">
        <v>19.290757070044961</v>
      </c>
      <c r="AJ6" s="15">
        <v>0</v>
      </c>
      <c r="AK6" s="15">
        <v>0.48</v>
      </c>
      <c r="AM6">
        <f t="shared" si="4"/>
        <v>3.5974551835736791E-3</v>
      </c>
      <c r="AN6">
        <f t="shared" si="5"/>
        <v>0.12143325628076795</v>
      </c>
      <c r="AP6" s="8">
        <v>1644.69975330122</v>
      </c>
      <c r="AQ6" s="8">
        <v>17.4049935074523</v>
      </c>
      <c r="AR6">
        <f t="shared" si="6"/>
        <v>0.15290120067367902</v>
      </c>
      <c r="AS6">
        <f t="shared" si="7"/>
        <v>0.25290120067367905</v>
      </c>
      <c r="AT6" s="97">
        <f t="shared" si="8"/>
        <v>0.20290120067367903</v>
      </c>
      <c r="AU6" s="96">
        <f t="shared" si="9"/>
        <v>4.2819873567948152E-3</v>
      </c>
      <c r="AV6" s="98">
        <f t="shared" si="10"/>
        <v>0.17310317789580698</v>
      </c>
    </row>
    <row r="7" spans="1:48">
      <c r="A7">
        <v>6</v>
      </c>
      <c r="B7">
        <v>21</v>
      </c>
      <c r="C7" t="s">
        <v>11</v>
      </c>
      <c r="D7" s="123">
        <v>117.72</v>
      </c>
      <c r="E7" s="123">
        <v>28.07</v>
      </c>
      <c r="F7" s="123">
        <v>1</v>
      </c>
      <c r="G7" t="s">
        <v>12</v>
      </c>
      <c r="H7">
        <v>5</v>
      </c>
      <c r="I7" t="s">
        <v>21</v>
      </c>
      <c r="J7">
        <v>17.612714194555952</v>
      </c>
      <c r="K7">
        <v>2.3363310648030402</v>
      </c>
      <c r="L7">
        <v>4.4009884809999997</v>
      </c>
      <c r="M7" s="8">
        <v>0.25525305335591281</v>
      </c>
      <c r="N7" s="8">
        <v>0.11442213550239666</v>
      </c>
      <c r="O7" s="29">
        <v>5.5125088</v>
      </c>
      <c r="P7" s="29">
        <f t="shared" si="0"/>
        <v>32.873685038889612</v>
      </c>
      <c r="Q7" s="29">
        <f t="shared" si="1"/>
        <v>61.924746609647073</v>
      </c>
      <c r="R7" s="29">
        <f t="shared" si="2"/>
        <v>3.5915751015126611</v>
      </c>
      <c r="S7" s="29">
        <f t="shared" si="3"/>
        <v>1.6099932499506617</v>
      </c>
      <c r="T7" s="19">
        <v>0.1276265266779564</v>
      </c>
      <c r="U7" s="62">
        <v>53.890007406227603</v>
      </c>
      <c r="V7" s="25">
        <v>1180.0000000000002</v>
      </c>
      <c r="W7">
        <v>1.96</v>
      </c>
      <c r="X7" s="100">
        <v>9.5277426666666667</v>
      </c>
      <c r="Y7" s="8">
        <v>11.484393333333333</v>
      </c>
      <c r="Z7" s="8" t="s">
        <v>163</v>
      </c>
      <c r="AA7">
        <v>15</v>
      </c>
      <c r="AB7" s="28">
        <v>0.1602753226711561</v>
      </c>
      <c r="AC7" s="13">
        <v>4.6433333333333335</v>
      </c>
      <c r="AD7" s="13">
        <v>0.52300000000000002</v>
      </c>
      <c r="AE7" s="49">
        <v>2.0240091130532898</v>
      </c>
      <c r="AF7" s="49">
        <v>1.6300615278008901</v>
      </c>
      <c r="AG7" s="49">
        <v>17.790690446409499</v>
      </c>
      <c r="AH7" s="49">
        <v>0.285530227620308</v>
      </c>
      <c r="AI7" s="49">
        <v>17.617526353809961</v>
      </c>
      <c r="AJ7">
        <v>0</v>
      </c>
      <c r="AK7" s="49">
        <v>0.48</v>
      </c>
      <c r="AM7">
        <f t="shared" si="4"/>
        <v>4.2048379335669845E-3</v>
      </c>
      <c r="AN7">
        <f t="shared" si="5"/>
        <v>0.167279777905607</v>
      </c>
      <c r="AP7" s="8">
        <v>2062.4422439639502</v>
      </c>
      <c r="AQ7" s="8">
        <v>17.008243516320402</v>
      </c>
      <c r="AR7">
        <f t="shared" si="6"/>
        <v>0.16467985291040488</v>
      </c>
      <c r="AS7">
        <f t="shared" si="7"/>
        <v>0.26467985291040486</v>
      </c>
      <c r="AT7" s="97">
        <f t="shared" si="8"/>
        <v>0.21467985291040487</v>
      </c>
      <c r="AU7" s="96">
        <f t="shared" si="9"/>
        <v>4.4260076035756947E-3</v>
      </c>
      <c r="AV7" s="98">
        <f t="shared" si="10"/>
        <v>0.18397412765282095</v>
      </c>
    </row>
    <row r="8" spans="1:48" s="85" customFormat="1">
      <c r="A8" s="85">
        <v>7</v>
      </c>
      <c r="B8" s="85">
        <v>1</v>
      </c>
      <c r="C8" s="85" t="s">
        <v>22</v>
      </c>
      <c r="D8" s="123">
        <v>105.46</v>
      </c>
      <c r="E8" s="123">
        <v>26.67</v>
      </c>
      <c r="F8" s="123">
        <v>1</v>
      </c>
      <c r="G8" s="85" t="s">
        <v>12</v>
      </c>
      <c r="H8" s="85">
        <v>6</v>
      </c>
      <c r="I8" s="85" t="s">
        <v>23</v>
      </c>
      <c r="J8" s="85">
        <v>93.6</v>
      </c>
      <c r="K8" s="85">
        <v>9.4601773749999598</v>
      </c>
      <c r="L8" s="85">
        <v>67.705388119999995</v>
      </c>
      <c r="M8" s="86">
        <v>0.98564873057728108</v>
      </c>
      <c r="N8" s="86">
        <v>0.51068014872040446</v>
      </c>
      <c r="O8" s="87">
        <v>74.765091006666665</v>
      </c>
      <c r="P8" s="87">
        <f t="shared" si="0"/>
        <v>12.026378782572293</v>
      </c>
      <c r="Q8" s="87">
        <f t="shared" si="1"/>
        <v>86.071392837091864</v>
      </c>
      <c r="R8" s="87">
        <f t="shared" si="2"/>
        <v>1.2530193156641503</v>
      </c>
      <c r="S8" s="87">
        <f t="shared" si="3"/>
        <v>0.64920906467168227</v>
      </c>
      <c r="T8" s="88">
        <v>0.49282436528864054</v>
      </c>
      <c r="U8" s="62">
        <v>62.146474429565302</v>
      </c>
      <c r="V8" s="89">
        <v>1020.0000000000002</v>
      </c>
      <c r="W8" s="85">
        <v>8.6199999999999992</v>
      </c>
      <c r="X8" s="99">
        <v>78.319013333333331</v>
      </c>
      <c r="Y8" s="86">
        <v>86.936152333333325</v>
      </c>
      <c r="Z8" s="101" t="s">
        <v>161</v>
      </c>
      <c r="AA8" s="85">
        <v>15</v>
      </c>
      <c r="AB8" s="90">
        <v>0.74352040816326503</v>
      </c>
      <c r="AC8" s="91">
        <v>4.1999999999999993</v>
      </c>
      <c r="AD8" s="91">
        <v>0.8</v>
      </c>
      <c r="AE8" s="92">
        <v>2.6519273031605</v>
      </c>
      <c r="AF8" s="92">
        <v>2.6523907445881498</v>
      </c>
      <c r="AG8" s="92">
        <v>15.177026155654699</v>
      </c>
      <c r="AH8" s="92">
        <v>0.25698319786786999</v>
      </c>
      <c r="AI8" s="92">
        <v>12.907132986408403</v>
      </c>
      <c r="AJ8" s="8">
        <v>1</v>
      </c>
      <c r="AK8" s="85">
        <v>0.86</v>
      </c>
      <c r="AM8">
        <f t="shared" si="4"/>
        <v>5.9147107259337499E-3</v>
      </c>
      <c r="AN8">
        <f t="shared" si="5"/>
        <v>0.29634455617240973</v>
      </c>
      <c r="AP8" s="8">
        <v>1139.3572645965</v>
      </c>
      <c r="AQ8" s="8">
        <v>11.4207436412107</v>
      </c>
      <c r="AR8">
        <f t="shared" si="6"/>
        <v>0.24207974618038325</v>
      </c>
      <c r="AS8">
        <f t="shared" si="7"/>
        <v>0.34207974618038328</v>
      </c>
      <c r="AT8" s="97">
        <f t="shared" si="8"/>
        <v>0.29207974618038324</v>
      </c>
      <c r="AU8" s="96">
        <f t="shared" si="9"/>
        <v>6.4542700582405164E-3</v>
      </c>
      <c r="AV8" s="98">
        <f t="shared" si="10"/>
        <v>0.33707162423082671</v>
      </c>
    </row>
    <row r="9" spans="1:48">
      <c r="A9">
        <v>8</v>
      </c>
      <c r="B9">
        <v>2</v>
      </c>
      <c r="C9" t="s">
        <v>24</v>
      </c>
      <c r="D9" s="123">
        <v>100.1</v>
      </c>
      <c r="E9" s="123">
        <v>37.200000000000003</v>
      </c>
      <c r="F9" s="123">
        <v>3</v>
      </c>
      <c r="G9" t="s">
        <v>15</v>
      </c>
      <c r="H9">
        <v>10</v>
      </c>
      <c r="I9" t="s">
        <v>15</v>
      </c>
      <c r="J9">
        <v>39.75</v>
      </c>
      <c r="K9">
        <v>3.2156316019417202</v>
      </c>
      <c r="L9">
        <v>35.505668419999999</v>
      </c>
      <c r="M9" s="8">
        <v>0.47434464925833864</v>
      </c>
      <c r="N9" s="8">
        <v>0.23347681762170791</v>
      </c>
      <c r="O9" s="29">
        <v>60.592568499999999</v>
      </c>
      <c r="P9" s="29">
        <f t="shared" si="0"/>
        <v>8.1554736208194694</v>
      </c>
      <c r="Q9" s="29">
        <f t="shared" si="1"/>
        <v>90.049352050782872</v>
      </c>
      <c r="R9" s="29">
        <f t="shared" si="2"/>
        <v>1.2030312402289161</v>
      </c>
      <c r="S9" s="29">
        <f t="shared" si="3"/>
        <v>0.59214308816872585</v>
      </c>
      <c r="T9" s="19">
        <v>0.23717232462916932</v>
      </c>
      <c r="U9" s="62">
        <v>97.101317900605494</v>
      </c>
      <c r="V9" s="25">
        <v>1367.5000000000002</v>
      </c>
      <c r="W9">
        <v>9.4700000000000006</v>
      </c>
      <c r="X9" s="99">
        <v>60.982661999999998</v>
      </c>
      <c r="Y9" s="8">
        <v>70.456474999999998</v>
      </c>
      <c r="Z9" s="101" t="s">
        <v>161</v>
      </c>
      <c r="AA9">
        <v>15</v>
      </c>
      <c r="AB9" s="28">
        <v>0.33145400265369324</v>
      </c>
      <c r="AC9" s="13">
        <v>7.8266666666666671</v>
      </c>
      <c r="AD9" s="13">
        <v>0.45879999999999999</v>
      </c>
      <c r="AE9" s="49">
        <v>0.67613235132143601</v>
      </c>
      <c r="AF9" s="49">
        <v>0.65749758392164104</v>
      </c>
      <c r="AG9" s="49">
        <v>3.2798871677346702</v>
      </c>
      <c r="AH9" s="49">
        <v>0.150477954353372</v>
      </c>
      <c r="AI9" s="49">
        <v>-0.37877230709543702</v>
      </c>
      <c r="AJ9" s="8">
        <v>1</v>
      </c>
      <c r="AK9">
        <v>0.86</v>
      </c>
      <c r="AM9">
        <f t="shared" si="4"/>
        <v>1.0737494347475644E-2</v>
      </c>
      <c r="AN9">
        <f t="shared" si="5"/>
        <v>0.66037836121441496</v>
      </c>
      <c r="AP9" s="8">
        <v>374.49978169240097</v>
      </c>
      <c r="AQ9" s="8">
        <v>1.4754938635043999</v>
      </c>
      <c r="AR9">
        <f t="shared" si="6"/>
        <v>0.39126059534593077</v>
      </c>
      <c r="AS9">
        <f t="shared" si="7"/>
        <v>0.49126059534593081</v>
      </c>
      <c r="AT9" s="97">
        <f t="shared" si="8"/>
        <v>0.44126059534593076</v>
      </c>
      <c r="AU9" s="96">
        <f t="shared" si="9"/>
        <v>1.0064395727547902E-2</v>
      </c>
      <c r="AV9" s="98">
        <f t="shared" si="10"/>
        <v>0.60957146813997953</v>
      </c>
    </row>
    <row r="10" spans="1:48" s="102" customFormat="1">
      <c r="A10" s="102">
        <v>9</v>
      </c>
      <c r="B10" s="102">
        <v>3</v>
      </c>
      <c r="C10" s="102" t="s">
        <v>52</v>
      </c>
      <c r="D10" s="123">
        <v>114.46</v>
      </c>
      <c r="E10" s="123">
        <v>30.96</v>
      </c>
      <c r="F10" s="123">
        <v>3</v>
      </c>
      <c r="G10" s="115" t="s">
        <v>15</v>
      </c>
      <c r="H10" s="115">
        <v>12</v>
      </c>
      <c r="I10" s="115" t="s">
        <v>25</v>
      </c>
      <c r="J10" s="102">
        <v>13.6</v>
      </c>
      <c r="K10" s="102">
        <v>3.1290955751682898</v>
      </c>
      <c r="L10" s="102">
        <v>10.390437439999999</v>
      </c>
      <c r="M10" s="103">
        <v>0.1559363101911804</v>
      </c>
      <c r="N10" s="103">
        <v>0.13624062492925051</v>
      </c>
      <c r="O10" s="104">
        <v>44.020961899999996</v>
      </c>
      <c r="P10" s="104">
        <f t="shared" si="0"/>
        <v>22.655381458418763</v>
      </c>
      <c r="Q10" s="104">
        <f t="shared" si="1"/>
        <v>75.229189415339533</v>
      </c>
      <c r="R10" s="104">
        <f t="shared" si="2"/>
        <v>1.1290152396222359</v>
      </c>
      <c r="S10" s="104">
        <f t="shared" si="3"/>
        <v>0.98641388661946627</v>
      </c>
      <c r="T10" s="105">
        <v>7.79681550955902E-2</v>
      </c>
      <c r="U10" s="106">
        <v>96.269159101132203</v>
      </c>
      <c r="V10" s="107">
        <v>1307.5000000000002</v>
      </c>
      <c r="W10" s="102">
        <v>5.67</v>
      </c>
      <c r="X10" s="116">
        <v>45.513823666666667</v>
      </c>
      <c r="Y10" s="103">
        <v>51.187165</v>
      </c>
      <c r="Z10" s="103" t="s">
        <v>159</v>
      </c>
      <c r="AA10" s="102">
        <v>15</v>
      </c>
      <c r="AB10" s="109">
        <v>0.26479822234801714</v>
      </c>
      <c r="AC10" s="110">
        <v>5.9066666666666672</v>
      </c>
      <c r="AD10" s="110">
        <v>0.47787500000000005</v>
      </c>
      <c r="AE10" s="111">
        <v>2.58531650689826</v>
      </c>
      <c r="AF10" s="111">
        <v>2.5341520185339901</v>
      </c>
      <c r="AG10" s="111">
        <v>17.4143864570513</v>
      </c>
      <c r="AH10" s="111">
        <v>0.25853256028074101</v>
      </c>
      <c r="AI10" s="111">
        <v>17.124906056025278</v>
      </c>
      <c r="AJ10" s="103">
        <v>1</v>
      </c>
      <c r="AK10" s="102">
        <v>0.86</v>
      </c>
      <c r="AM10" s="102">
        <f t="shared" si="4"/>
        <v>4.3836591016628247E-3</v>
      </c>
      <c r="AN10" s="102">
        <f t="shared" si="5"/>
        <v>0.18077757406490735</v>
      </c>
      <c r="AP10" s="103">
        <v>1270.75726165948</v>
      </c>
      <c r="AQ10" s="103">
        <v>16.991743516689201</v>
      </c>
      <c r="AR10" s="102">
        <f t="shared" si="6"/>
        <v>0.15465194813454597</v>
      </c>
      <c r="AS10" s="102">
        <f t="shared" si="7"/>
        <v>0.25465194813454595</v>
      </c>
      <c r="AT10" s="112">
        <f t="shared" si="8"/>
        <v>0.20465194813454596</v>
      </c>
      <c r="AU10" s="113">
        <f t="shared" si="9"/>
        <v>4.4319971034418202E-3</v>
      </c>
      <c r="AV10" s="114">
        <f t="shared" si="10"/>
        <v>0.18442622764271577</v>
      </c>
    </row>
    <row r="11" spans="1:48" s="85" customFormat="1">
      <c r="A11" s="85">
        <v>10</v>
      </c>
      <c r="B11" s="85">
        <v>4</v>
      </c>
      <c r="C11" s="85" t="s">
        <v>26</v>
      </c>
      <c r="D11" s="123">
        <v>110.36</v>
      </c>
      <c r="E11" s="123">
        <v>24.44</v>
      </c>
      <c r="F11" s="123">
        <v>3</v>
      </c>
      <c r="G11" s="85" t="s">
        <v>15</v>
      </c>
      <c r="H11" s="85">
        <v>10</v>
      </c>
      <c r="I11" s="85" t="s">
        <v>15</v>
      </c>
      <c r="J11" s="85">
        <v>71.849999999999994</v>
      </c>
      <c r="K11" s="85">
        <v>13.6724508965785</v>
      </c>
      <c r="L11" s="85">
        <v>48.612446990000002</v>
      </c>
      <c r="M11" s="86">
        <v>0.81013855063808127</v>
      </c>
      <c r="N11" s="86">
        <v>0.41317497019737431</v>
      </c>
      <c r="O11" s="87">
        <v>31.481371039999992</v>
      </c>
      <c r="P11" s="87">
        <f t="shared" si="0"/>
        <v>21.528634791598581</v>
      </c>
      <c r="Q11" s="87">
        <f t="shared" si="1"/>
        <v>76.545136310239371</v>
      </c>
      <c r="R11" s="87">
        <f t="shared" si="2"/>
        <v>1.2756437831966805</v>
      </c>
      <c r="S11" s="87">
        <f t="shared" si="3"/>
        <v>0.65058511496536997</v>
      </c>
      <c r="T11" s="88">
        <v>0.40506927531904063</v>
      </c>
      <c r="U11" s="62">
        <v>62.724180758365002</v>
      </c>
      <c r="V11" s="89">
        <v>1262.5000000000002</v>
      </c>
      <c r="W11" s="85">
        <v>10.26</v>
      </c>
      <c r="X11" s="100">
        <v>55.324887333333329</v>
      </c>
      <c r="Y11" s="86">
        <v>65.586189666666655</v>
      </c>
      <c r="Z11" s="101" t="s">
        <v>161</v>
      </c>
      <c r="AA11" s="85">
        <v>15</v>
      </c>
      <c r="AB11" s="93">
        <v>0.492934937947483</v>
      </c>
      <c r="AC11" s="94">
        <v>4.72</v>
      </c>
      <c r="AD11" s="94">
        <v>0.51</v>
      </c>
      <c r="AE11" s="92">
        <v>3.0066948912731601</v>
      </c>
      <c r="AF11" s="92">
        <v>3.0150548990458699</v>
      </c>
      <c r="AG11" s="92">
        <v>22.875390230361699</v>
      </c>
      <c r="AH11" s="92">
        <v>0.28148527929329697</v>
      </c>
      <c r="AI11" s="92">
        <v>21.155417196195437</v>
      </c>
      <c r="AJ11" s="8">
        <v>0</v>
      </c>
      <c r="AK11" s="1">
        <v>0.86</v>
      </c>
      <c r="AM11">
        <f t="shared" si="4"/>
        <v>2.9205835577810566E-3</v>
      </c>
      <c r="AN11">
        <f t="shared" si="5"/>
        <v>7.0341568824244916E-2</v>
      </c>
      <c r="AP11" s="8">
        <v>1798.5472498624599</v>
      </c>
      <c r="AQ11" s="8">
        <v>19.775243454473099</v>
      </c>
      <c r="AR11">
        <f t="shared" si="6"/>
        <v>0.11697721897664237</v>
      </c>
      <c r="AS11">
        <f t="shared" si="7"/>
        <v>0.21697721897664238</v>
      </c>
      <c r="AT11" s="97">
        <f t="shared" si="8"/>
        <v>0.16697721897664236</v>
      </c>
      <c r="AU11" s="96">
        <f t="shared" si="9"/>
        <v>3.4215866260262654E-3</v>
      </c>
      <c r="AV11" s="98">
        <f t="shared" si="10"/>
        <v>0.10815832934743708</v>
      </c>
    </row>
  </sheetData>
  <sortState ref="A2:AD11">
    <sortCondition ref="A1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" sqref="B1:D11"/>
    </sheetView>
  </sheetViews>
  <sheetFormatPr defaultRowHeight="14"/>
  <cols>
    <col min="7" max="7" width="13.4140625" customWidth="1"/>
  </cols>
  <sheetData>
    <row r="1" spans="1:7">
      <c r="A1" s="125" t="s">
        <v>0</v>
      </c>
      <c r="B1" s="126" t="s">
        <v>165</v>
      </c>
      <c r="C1" s="126" t="s">
        <v>166</v>
      </c>
      <c r="D1" s="126" t="s">
        <v>179</v>
      </c>
      <c r="E1" s="125" t="s">
        <v>177</v>
      </c>
      <c r="F1" s="125" t="s">
        <v>167</v>
      </c>
      <c r="G1" s="125" t="s">
        <v>176</v>
      </c>
    </row>
    <row r="2" spans="1:7">
      <c r="A2" s="122" t="s">
        <v>50</v>
      </c>
      <c r="B2" s="123">
        <v>113.24</v>
      </c>
      <c r="C2" s="123">
        <v>30.86</v>
      </c>
      <c r="D2" s="123">
        <v>1</v>
      </c>
      <c r="E2" s="122" t="s">
        <v>178</v>
      </c>
      <c r="F2" s="122">
        <v>12</v>
      </c>
      <c r="G2" s="122" t="s">
        <v>168</v>
      </c>
    </row>
    <row r="3" spans="1:7">
      <c r="A3" s="122" t="s">
        <v>14</v>
      </c>
      <c r="B3" s="123">
        <v>120.1</v>
      </c>
      <c r="C3" s="123">
        <v>50.45</v>
      </c>
      <c r="D3" s="123">
        <v>3</v>
      </c>
      <c r="E3" s="122" t="s">
        <v>15</v>
      </c>
      <c r="F3" s="122">
        <v>10</v>
      </c>
      <c r="G3" s="122" t="s">
        <v>169</v>
      </c>
    </row>
    <row r="4" spans="1:7">
      <c r="A4" s="122" t="s">
        <v>16</v>
      </c>
      <c r="B4" s="123">
        <v>118.7</v>
      </c>
      <c r="C4" s="123">
        <v>43.59</v>
      </c>
      <c r="D4" s="123">
        <v>3</v>
      </c>
      <c r="E4" s="122" t="s">
        <v>15</v>
      </c>
      <c r="F4" s="122">
        <v>10</v>
      </c>
      <c r="G4" s="122" t="s">
        <v>170</v>
      </c>
    </row>
    <row r="5" spans="1:7">
      <c r="A5" s="122" t="s">
        <v>17</v>
      </c>
      <c r="B5" s="123">
        <v>126.26</v>
      </c>
      <c r="C5" s="123">
        <v>48.71</v>
      </c>
      <c r="D5" s="123">
        <v>1</v>
      </c>
      <c r="E5" s="122" t="s">
        <v>12</v>
      </c>
      <c r="F5" s="122">
        <v>12</v>
      </c>
      <c r="G5" s="122" t="s">
        <v>168</v>
      </c>
    </row>
    <row r="6" spans="1:7">
      <c r="A6" s="122" t="s">
        <v>19</v>
      </c>
      <c r="B6" s="123">
        <v>113.82</v>
      </c>
      <c r="C6" s="123">
        <v>27.72</v>
      </c>
      <c r="D6" s="123">
        <v>1</v>
      </c>
      <c r="E6" s="122" t="s">
        <v>12</v>
      </c>
      <c r="F6" s="122">
        <v>9</v>
      </c>
      <c r="G6" s="122" t="s">
        <v>174</v>
      </c>
    </row>
    <row r="7" spans="1:7">
      <c r="A7" s="122" t="s">
        <v>11</v>
      </c>
      <c r="B7" s="123">
        <v>117.72</v>
      </c>
      <c r="C7" s="123">
        <v>28.07</v>
      </c>
      <c r="D7" s="123">
        <v>1</v>
      </c>
      <c r="E7" s="122" t="s">
        <v>12</v>
      </c>
      <c r="F7" s="122">
        <v>2</v>
      </c>
      <c r="G7" s="122" t="s">
        <v>171</v>
      </c>
    </row>
    <row r="8" spans="1:7">
      <c r="A8" s="122" t="s">
        <v>22</v>
      </c>
      <c r="B8" s="123">
        <v>105.46</v>
      </c>
      <c r="C8" s="123">
        <v>26.67</v>
      </c>
      <c r="D8" s="123">
        <v>1</v>
      </c>
      <c r="E8" s="122" t="s">
        <v>12</v>
      </c>
      <c r="F8" s="122">
        <v>4</v>
      </c>
      <c r="G8" s="122" t="s">
        <v>172</v>
      </c>
    </row>
    <row r="9" spans="1:7">
      <c r="A9" s="122" t="s">
        <v>24</v>
      </c>
      <c r="B9" s="123">
        <v>100.1</v>
      </c>
      <c r="C9" s="123">
        <v>37.200000000000003</v>
      </c>
      <c r="D9" s="123">
        <v>3</v>
      </c>
      <c r="E9" s="122" t="s">
        <v>15</v>
      </c>
      <c r="F9" s="122">
        <v>0</v>
      </c>
      <c r="G9" s="122" t="s">
        <v>173</v>
      </c>
    </row>
    <row r="10" spans="1:7">
      <c r="A10" s="122" t="s">
        <v>52</v>
      </c>
      <c r="B10" s="123">
        <v>114.46</v>
      </c>
      <c r="C10" s="123">
        <v>30.96</v>
      </c>
      <c r="D10" s="123">
        <v>3</v>
      </c>
      <c r="E10" s="124" t="s">
        <v>15</v>
      </c>
      <c r="F10" s="122">
        <v>14</v>
      </c>
      <c r="G10" s="122" t="s">
        <v>175</v>
      </c>
    </row>
    <row r="11" spans="1:7">
      <c r="A11" s="122" t="s">
        <v>26</v>
      </c>
      <c r="B11" s="123">
        <v>110.36</v>
      </c>
      <c r="C11" s="123">
        <v>24.44</v>
      </c>
      <c r="D11" s="123">
        <v>3</v>
      </c>
      <c r="E11" s="122" t="s">
        <v>15</v>
      </c>
      <c r="F11" s="122">
        <v>9</v>
      </c>
      <c r="G11" s="122" t="s">
        <v>174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M9" sqref="M9"/>
    </sheetView>
  </sheetViews>
  <sheetFormatPr defaultRowHeight="14"/>
  <sheetData>
    <row r="1" spans="1:16">
      <c r="B1" t="s">
        <v>0</v>
      </c>
      <c r="C1" t="s">
        <v>1</v>
      </c>
      <c r="D1" s="6" t="s">
        <v>4</v>
      </c>
      <c r="E1" s="6" t="s">
        <v>56</v>
      </c>
      <c r="F1" s="6" t="s">
        <v>57</v>
      </c>
      <c r="G1" s="6" t="s">
        <v>33</v>
      </c>
      <c r="H1" s="6" t="s">
        <v>34</v>
      </c>
      <c r="I1" s="6" t="s">
        <v>43</v>
      </c>
      <c r="J1" s="6" t="s">
        <v>47</v>
      </c>
      <c r="K1" t="s">
        <v>27</v>
      </c>
      <c r="L1" t="s">
        <v>5</v>
      </c>
      <c r="M1" s="6" t="s">
        <v>138</v>
      </c>
      <c r="N1" t="s">
        <v>54</v>
      </c>
      <c r="O1" t="s">
        <v>63</v>
      </c>
      <c r="P1" s="14" t="s">
        <v>64</v>
      </c>
    </row>
    <row r="2" spans="1:16" s="30" customFormat="1">
      <c r="A2" s="30">
        <v>1</v>
      </c>
      <c r="B2" s="30" t="s">
        <v>50</v>
      </c>
      <c r="C2" s="30" t="s">
        <v>12</v>
      </c>
      <c r="D2" s="30">
        <v>6.8884134602511642</v>
      </c>
      <c r="E2" s="30">
        <v>0.37112420792079298</v>
      </c>
      <c r="F2" s="30">
        <v>6.1017872730000002</v>
      </c>
      <c r="G2" s="31">
        <v>6.443519749655878E-2</v>
      </c>
      <c r="H2" s="31">
        <v>8.8252600203228115E-2</v>
      </c>
      <c r="I2" s="32">
        <v>3.221759874827939E-2</v>
      </c>
      <c r="J2" s="33">
        <v>6.7766666666666664</v>
      </c>
      <c r="K2" s="35">
        <v>1345.0000000000002</v>
      </c>
      <c r="L2" s="30">
        <v>6.43</v>
      </c>
      <c r="M2" s="36">
        <v>55.369179333333335</v>
      </c>
      <c r="N2" s="30">
        <v>15</v>
      </c>
      <c r="O2" s="37">
        <v>0.31645962732919247</v>
      </c>
      <c r="P2" s="33">
        <v>0.46562500000000001</v>
      </c>
    </row>
    <row r="3" spans="1:16" s="30" customFormat="1">
      <c r="A3" s="30">
        <v>2</v>
      </c>
      <c r="B3" s="30" t="s">
        <v>14</v>
      </c>
      <c r="C3" s="30" t="s">
        <v>15</v>
      </c>
      <c r="D3" s="30">
        <v>28.361694571283618</v>
      </c>
      <c r="E3" s="30">
        <v>5.7682061718750104</v>
      </c>
      <c r="F3" s="30">
        <v>24.914421130000001</v>
      </c>
      <c r="G3" s="31">
        <v>0.40710470656129227</v>
      </c>
      <c r="H3" s="31">
        <v>6.4582437702556506E-2</v>
      </c>
      <c r="I3" s="32">
        <v>0.20355235328064614</v>
      </c>
      <c r="J3" s="33">
        <v>6.22</v>
      </c>
      <c r="K3" s="35">
        <v>1122.5000000000002</v>
      </c>
      <c r="L3" s="30">
        <v>2.62</v>
      </c>
      <c r="M3" s="36">
        <v>42.565676333333329</v>
      </c>
      <c r="N3" s="30">
        <v>15</v>
      </c>
      <c r="O3" s="37">
        <v>0.28520693111843037</v>
      </c>
      <c r="P3" s="33">
        <v>0.52692500000000009</v>
      </c>
    </row>
    <row r="4" spans="1:16">
      <c r="A4">
        <v>3</v>
      </c>
      <c r="B4" t="s">
        <v>16</v>
      </c>
      <c r="C4" t="s">
        <v>15</v>
      </c>
      <c r="D4">
        <v>10.634680496088141</v>
      </c>
      <c r="E4">
        <v>0.91382600258732105</v>
      </c>
      <c r="F4">
        <v>7.6987623090000001</v>
      </c>
      <c r="G4" s="8">
        <v>0.21222574914168446</v>
      </c>
      <c r="H4" s="8">
        <v>5.5561974448766913E-2</v>
      </c>
      <c r="I4" s="10">
        <v>0.10611287457084223</v>
      </c>
      <c r="J4" s="13">
        <v>7.4933333333333332</v>
      </c>
      <c r="K4" s="25">
        <v>1367.5000000000002</v>
      </c>
      <c r="L4">
        <v>1.87</v>
      </c>
      <c r="M4" s="29">
        <v>25.205540666666668</v>
      </c>
      <c r="N4">
        <v>15</v>
      </c>
      <c r="O4" s="28">
        <v>0.23255022759378413</v>
      </c>
      <c r="P4" s="13">
        <v>0.45727499999999993</v>
      </c>
    </row>
    <row r="5" spans="1:16" s="1" customFormat="1">
      <c r="A5" s="1">
        <v>4</v>
      </c>
      <c r="B5" s="1" t="s">
        <v>17</v>
      </c>
      <c r="C5" s="1" t="s">
        <v>12</v>
      </c>
      <c r="D5" s="1">
        <v>53.479634200710812</v>
      </c>
      <c r="E5" s="1">
        <v>10.3745122576867</v>
      </c>
      <c r="F5" s="1">
        <v>56.273082870000003</v>
      </c>
      <c r="G5" s="79">
        <v>0.5147528426627882</v>
      </c>
      <c r="H5" s="79">
        <v>8.6205294426662707E-2</v>
      </c>
      <c r="I5" s="83">
        <v>0.2573764213313941</v>
      </c>
      <c r="J5" s="82">
        <v>5.9666666666666659</v>
      </c>
      <c r="K5" s="27">
        <v>1087.5000000000002</v>
      </c>
      <c r="L5" s="1">
        <v>6.12</v>
      </c>
      <c r="M5" s="84">
        <v>62.613185999999999</v>
      </c>
      <c r="N5" s="1">
        <v>15</v>
      </c>
      <c r="O5" s="81">
        <v>0.39124831536388127</v>
      </c>
      <c r="P5" s="82">
        <v>0.54125000000000001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G14" sqref="G14"/>
    </sheetView>
  </sheetViews>
  <sheetFormatPr defaultRowHeight="14"/>
  <cols>
    <col min="4" max="4" width="11.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s="6" t="s">
        <v>56</v>
      </c>
      <c r="G1" s="6" t="s">
        <v>57</v>
      </c>
      <c r="H1" s="6" t="s">
        <v>33</v>
      </c>
      <c r="I1" s="6" t="s">
        <v>34</v>
      </c>
      <c r="J1" s="6" t="s">
        <v>43</v>
      </c>
      <c r="K1" s="6" t="s">
        <v>47</v>
      </c>
      <c r="L1" t="s">
        <v>27</v>
      </c>
      <c r="M1" t="s">
        <v>5</v>
      </c>
      <c r="N1" s="6" t="s">
        <v>83</v>
      </c>
      <c r="O1" t="s">
        <v>54</v>
      </c>
      <c r="P1" t="s">
        <v>63</v>
      </c>
      <c r="Q1" s="14" t="s">
        <v>64</v>
      </c>
    </row>
    <row r="2" spans="1:17">
      <c r="A2" t="s">
        <v>19</v>
      </c>
      <c r="B2" t="s">
        <v>12</v>
      </c>
      <c r="C2">
        <v>2</v>
      </c>
      <c r="D2" t="s">
        <v>20</v>
      </c>
      <c r="E2">
        <v>6.7250291918241478</v>
      </c>
      <c r="F2">
        <v>0.19547056768559001</v>
      </c>
      <c r="G2">
        <v>5.2908770389999997</v>
      </c>
      <c r="H2" s="8">
        <v>0.11607105582256995</v>
      </c>
      <c r="I2" s="8">
        <v>0.135439878585836</v>
      </c>
      <c r="J2" s="10">
        <v>5.8035527911284975E-2</v>
      </c>
      <c r="K2" s="13">
        <v>4.1333333333333329</v>
      </c>
      <c r="L2" s="3">
        <v>1247.5000000000002</v>
      </c>
      <c r="M2">
        <v>9.25</v>
      </c>
      <c r="N2">
        <v>76.589109666666658</v>
      </c>
      <c r="O2">
        <v>15</v>
      </c>
      <c r="P2">
        <v>0.2464281274535709</v>
      </c>
      <c r="Q2">
        <v>0.49447499999999989</v>
      </c>
    </row>
    <row r="3" spans="1:17">
      <c r="A3" t="s">
        <v>11</v>
      </c>
      <c r="B3" t="s">
        <v>12</v>
      </c>
      <c r="C3">
        <v>5</v>
      </c>
      <c r="D3" t="s">
        <v>21</v>
      </c>
      <c r="E3">
        <v>17.612714194555952</v>
      </c>
      <c r="F3">
        <v>2.3363310648030402</v>
      </c>
      <c r="G3">
        <v>4.4009884809999997</v>
      </c>
      <c r="H3" s="8">
        <v>0.25525305335591281</v>
      </c>
      <c r="I3" s="8">
        <v>0.11442213550239666</v>
      </c>
      <c r="J3" s="10">
        <v>0.1276265266779564</v>
      </c>
      <c r="K3" s="13">
        <v>4.6433333333333335</v>
      </c>
      <c r="L3" s="3">
        <v>1180.0000000000002</v>
      </c>
      <c r="M3">
        <v>1.96</v>
      </c>
      <c r="N3">
        <v>11.484393333333333</v>
      </c>
      <c r="O3">
        <v>15</v>
      </c>
      <c r="P3">
        <v>0.1602753226711561</v>
      </c>
      <c r="Q3">
        <v>0.52300000000000002</v>
      </c>
    </row>
    <row r="4" spans="1:17" s="30" customFormat="1">
      <c r="A4" s="30" t="s">
        <v>22</v>
      </c>
      <c r="B4" s="30" t="s">
        <v>12</v>
      </c>
      <c r="C4" s="30">
        <v>6</v>
      </c>
      <c r="D4" s="30" t="s">
        <v>23</v>
      </c>
      <c r="E4" s="30">
        <v>93.6</v>
      </c>
      <c r="F4" s="30">
        <v>9.4601773749999598</v>
      </c>
      <c r="G4" s="30">
        <v>67.705388119999995</v>
      </c>
      <c r="H4" s="31">
        <v>0.98564873057728108</v>
      </c>
      <c r="I4" s="31">
        <v>0.51068014872040446</v>
      </c>
      <c r="J4" s="32">
        <v>0.49282436528864054</v>
      </c>
      <c r="K4" s="33">
        <v>4.1999999999999993</v>
      </c>
      <c r="L4" s="34">
        <v>1020.0000000000002</v>
      </c>
      <c r="M4" s="30">
        <v>8.6199999999999992</v>
      </c>
      <c r="N4" s="30">
        <v>86.936152333333325</v>
      </c>
      <c r="O4" s="30">
        <v>15</v>
      </c>
      <c r="P4" s="30">
        <v>0.74352040816326503</v>
      </c>
      <c r="Q4" s="30">
        <v>0.55979999999999996</v>
      </c>
    </row>
    <row r="5" spans="1:17" s="30" customFormat="1">
      <c r="A5" s="30" t="s">
        <v>24</v>
      </c>
      <c r="B5" s="30" t="s">
        <v>15</v>
      </c>
      <c r="C5" s="30">
        <v>10</v>
      </c>
      <c r="D5" s="30" t="s">
        <v>15</v>
      </c>
      <c r="E5" s="30">
        <v>39.75</v>
      </c>
      <c r="F5" s="30">
        <v>3.2156316019417202</v>
      </c>
      <c r="G5" s="30">
        <v>35.505668419999999</v>
      </c>
      <c r="H5" s="31">
        <v>0.47434464925833864</v>
      </c>
      <c r="I5" s="31">
        <v>0.23347681762170791</v>
      </c>
      <c r="J5" s="32">
        <v>0.23717232462916932</v>
      </c>
      <c r="K5" s="33">
        <v>7.8266666666666671</v>
      </c>
      <c r="L5" s="34">
        <v>1367.5000000000002</v>
      </c>
      <c r="M5" s="30">
        <v>9.4700000000000006</v>
      </c>
      <c r="N5" s="30">
        <v>70.456474999999998</v>
      </c>
      <c r="O5" s="30">
        <v>15</v>
      </c>
      <c r="P5" s="30">
        <v>0.33145400265369324</v>
      </c>
      <c r="Q5" s="30">
        <v>0.45879999999999999</v>
      </c>
    </row>
    <row r="6" spans="1:17">
      <c r="A6" s="1" t="s">
        <v>52</v>
      </c>
      <c r="B6" s="2" t="s">
        <v>15</v>
      </c>
      <c r="C6" s="2">
        <v>12</v>
      </c>
      <c r="D6" s="2" t="s">
        <v>25</v>
      </c>
      <c r="E6">
        <v>13.6</v>
      </c>
      <c r="F6">
        <v>3.1290955751682898</v>
      </c>
      <c r="G6">
        <v>10.390437439999999</v>
      </c>
      <c r="H6">
        <v>0.1559363101911804</v>
      </c>
      <c r="I6">
        <v>0.13624062492925051</v>
      </c>
      <c r="J6">
        <v>7.79681550955902E-2</v>
      </c>
      <c r="K6">
        <v>5.9066666666666672</v>
      </c>
      <c r="L6">
        <v>1307.5000000000002</v>
      </c>
      <c r="M6">
        <v>5.67</v>
      </c>
      <c r="N6">
        <v>51.187165</v>
      </c>
      <c r="O6">
        <v>15</v>
      </c>
      <c r="P6">
        <v>0.26479822234801714</v>
      </c>
      <c r="Q6">
        <v>0.47787500000000005</v>
      </c>
    </row>
    <row r="7" spans="1:17">
      <c r="A7" t="s">
        <v>26</v>
      </c>
      <c r="B7" t="s">
        <v>15</v>
      </c>
      <c r="C7">
        <v>10</v>
      </c>
      <c r="D7" t="s">
        <v>15</v>
      </c>
      <c r="E7">
        <v>71.849999999999994</v>
      </c>
      <c r="F7">
        <v>13.6724508965785</v>
      </c>
      <c r="G7">
        <v>48.612446990000002</v>
      </c>
      <c r="H7">
        <v>0.81013855063808127</v>
      </c>
      <c r="I7">
        <v>0.41317497019737431</v>
      </c>
      <c r="J7">
        <v>0.40506927531904063</v>
      </c>
      <c r="K7">
        <v>4.72</v>
      </c>
      <c r="L7">
        <v>1262.5000000000002</v>
      </c>
      <c r="M7">
        <v>10.26</v>
      </c>
      <c r="N7">
        <v>65.586189666666655</v>
      </c>
      <c r="O7">
        <v>15</v>
      </c>
      <c r="P7">
        <v>0.492934937947483</v>
      </c>
      <c r="Q7">
        <v>0.48530000000000006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workbookViewId="0">
      <selection activeCell="D3" sqref="D3"/>
    </sheetView>
  </sheetViews>
  <sheetFormatPr defaultRowHeight="14"/>
  <cols>
    <col min="1" max="1" width="14" customWidth="1"/>
    <col min="2" max="2" width="12.4140625" customWidth="1"/>
    <col min="4" max="4" width="11.4140625" customWidth="1"/>
    <col min="6" max="6" width="11.83203125" customWidth="1"/>
  </cols>
  <sheetData>
    <row r="2" spans="1:15">
      <c r="A2" t="s">
        <v>4</v>
      </c>
      <c r="B2" t="s">
        <v>29</v>
      </c>
      <c r="C2" t="s">
        <v>30</v>
      </c>
      <c r="D2" s="9" t="s">
        <v>33</v>
      </c>
      <c r="E2" s="9" t="s">
        <v>34</v>
      </c>
      <c r="F2" s="6" t="s">
        <v>43</v>
      </c>
      <c r="G2" t="s">
        <v>55</v>
      </c>
      <c r="H2" t="s">
        <v>5</v>
      </c>
      <c r="I2" s="1" t="s">
        <v>6</v>
      </c>
      <c r="J2" t="s">
        <v>7</v>
      </c>
      <c r="K2" t="s">
        <v>8</v>
      </c>
    </row>
    <row r="3" spans="1:15" ht="15.5">
      <c r="A3" t="s">
        <v>41</v>
      </c>
      <c r="B3" s="5" t="s">
        <v>31</v>
      </c>
      <c r="C3" s="5" t="s">
        <v>31</v>
      </c>
      <c r="D3" s="8" t="s">
        <v>58</v>
      </c>
      <c r="E3" s="8" t="s">
        <v>59</v>
      </c>
      <c r="F3" s="8" t="s">
        <v>61</v>
      </c>
      <c r="G3" t="s">
        <v>65</v>
      </c>
      <c r="H3" t="s">
        <v>32</v>
      </c>
      <c r="I3" s="5" t="s">
        <v>31</v>
      </c>
    </row>
    <row r="5" spans="1:15" ht="15.5">
      <c r="A5" s="7" t="s">
        <v>35</v>
      </c>
      <c r="B5" s="8" t="s">
        <v>36</v>
      </c>
      <c r="C5" t="s">
        <v>28</v>
      </c>
      <c r="D5" s="11" t="s">
        <v>37</v>
      </c>
      <c r="H5" s="5" t="s">
        <v>31</v>
      </c>
      <c r="J5" s="11" t="s">
        <v>37</v>
      </c>
    </row>
    <row r="6" spans="1:15">
      <c r="A6" s="9" t="s">
        <v>33</v>
      </c>
      <c r="B6" s="9" t="s">
        <v>34</v>
      </c>
      <c r="C6" t="s">
        <v>27</v>
      </c>
      <c r="D6" s="9" t="s">
        <v>33</v>
      </c>
      <c r="E6" s="9" t="s">
        <v>34</v>
      </c>
      <c r="F6" s="9"/>
      <c r="H6" t="s">
        <v>29</v>
      </c>
      <c r="I6" t="s">
        <v>30</v>
      </c>
      <c r="L6" t="s">
        <v>38</v>
      </c>
      <c r="M6" t="s">
        <v>48</v>
      </c>
      <c r="N6" t="s">
        <v>49</v>
      </c>
      <c r="O6" t="s">
        <v>42</v>
      </c>
    </row>
    <row r="7" spans="1:15">
      <c r="A7" s="10">
        <v>179.44970677065757</v>
      </c>
      <c r="B7" s="10">
        <v>56.396266068990599</v>
      </c>
      <c r="C7" s="3">
        <v>1.31</v>
      </c>
      <c r="D7">
        <f>A7*C7/1000</f>
        <v>0.23507911586956143</v>
      </c>
      <c r="E7">
        <f>B7*C7/1000</f>
        <v>7.3879108550377701E-2</v>
      </c>
      <c r="H7" s="12">
        <v>55.7866</v>
      </c>
      <c r="I7" s="12">
        <v>21.9344</v>
      </c>
      <c r="J7">
        <f>H7/10/20</f>
        <v>0.27893299999999999</v>
      </c>
      <c r="K7">
        <f t="shared" ref="J7:K10" si="0">I7/10/20</f>
        <v>0.10967199999999999</v>
      </c>
      <c r="L7">
        <f>SUM(J7:K7)</f>
        <v>0.38860499999999998</v>
      </c>
      <c r="M7">
        <f>H7/SUM(H7:I7)</f>
        <v>0.71778026530796046</v>
      </c>
      <c r="N7">
        <f>I7/SUM(H7:I7)</f>
        <v>0.28221973469203948</v>
      </c>
      <c r="O7">
        <f>D7-L7</f>
        <v>-0.15352588413043855</v>
      </c>
    </row>
    <row r="8" spans="1:15">
      <c r="A8" s="10">
        <v>390.33468146770883</v>
      </c>
      <c r="B8" s="10">
        <v>59.151545671530947</v>
      </c>
      <c r="C8" s="3">
        <v>1.05</v>
      </c>
      <c r="D8">
        <f>A8*C8/1000</f>
        <v>0.40985141554109428</v>
      </c>
      <c r="E8">
        <f>B8*C8/1000</f>
        <v>6.2109122955107496E-2</v>
      </c>
      <c r="H8" s="12">
        <v>72.749300000000005</v>
      </c>
      <c r="I8" s="12">
        <v>32.873699999999999</v>
      </c>
      <c r="J8">
        <f t="shared" si="0"/>
        <v>0.36374650000000003</v>
      </c>
      <c r="K8">
        <f t="shared" si="0"/>
        <v>0.1643685</v>
      </c>
      <c r="L8">
        <f>SUM(J8:K8)</f>
        <v>0.528115</v>
      </c>
      <c r="M8">
        <f>H8/SUM(H8:I8)</f>
        <v>0.68876381091239602</v>
      </c>
      <c r="N8">
        <f t="shared" ref="N8:N10" si="1">I8/SUM(H8:I8)</f>
        <v>0.31123618908760403</v>
      </c>
      <c r="O8">
        <f t="shared" ref="O8:O10" si="2">D8-L8</f>
        <v>-0.11826358445890572</v>
      </c>
    </row>
    <row r="9" spans="1:15">
      <c r="A9" s="10">
        <v>158.53848290526386</v>
      </c>
      <c r="B9" s="10">
        <v>41.344130553830887</v>
      </c>
      <c r="C9" s="3">
        <v>1.36</v>
      </c>
      <c r="D9">
        <f>A9*C9/1000</f>
        <v>0.21561233675115887</v>
      </c>
      <c r="E9">
        <f>B9*C9/1000</f>
        <v>5.6228017553210011E-2</v>
      </c>
      <c r="H9" s="12">
        <v>81.472999999999999</v>
      </c>
      <c r="I9" s="12">
        <v>18.468</v>
      </c>
      <c r="J9">
        <f t="shared" si="0"/>
        <v>0.40736499999999998</v>
      </c>
      <c r="K9">
        <f t="shared" si="0"/>
        <v>9.2340000000000005E-2</v>
      </c>
      <c r="L9">
        <f>SUM(J9:K9)</f>
        <v>0.49970499999999995</v>
      </c>
      <c r="M9">
        <f>H9/SUM(H9:I9)</f>
        <v>0.81521097447494018</v>
      </c>
      <c r="N9">
        <f t="shared" si="1"/>
        <v>0.18478902552505977</v>
      </c>
      <c r="O9">
        <f t="shared" si="2"/>
        <v>-0.28409266324884108</v>
      </c>
    </row>
    <row r="10" spans="1:15">
      <c r="A10" s="10">
        <v>746.49048215405594</v>
      </c>
      <c r="B10" s="10">
        <v>78.221053415661046</v>
      </c>
      <c r="C10" s="3">
        <v>1.0249999999999999</v>
      </c>
      <c r="D10">
        <f>A10*C10/1000</f>
        <v>0.76515274420790724</v>
      </c>
      <c r="E10">
        <f>B10*C10/1000</f>
        <v>8.0176579751052565E-2</v>
      </c>
      <c r="H10" s="12">
        <v>97.213200000000001</v>
      </c>
      <c r="I10" s="12">
        <v>37.720799999999997</v>
      </c>
      <c r="J10">
        <f t="shared" si="0"/>
        <v>0.486066</v>
      </c>
      <c r="K10">
        <f t="shared" si="0"/>
        <v>0.18860399999999999</v>
      </c>
      <c r="L10">
        <f>SUM(J10:K10)</f>
        <v>0.67466999999999999</v>
      </c>
      <c r="M10">
        <f>H10/SUM(H10:I10)</f>
        <v>0.72044999777669083</v>
      </c>
      <c r="N10">
        <f t="shared" si="1"/>
        <v>0.27955000222330917</v>
      </c>
      <c r="O10">
        <f t="shared" si="2"/>
        <v>9.0482744207907251E-2</v>
      </c>
    </row>
    <row r="12" spans="1:15">
      <c r="A12" t="s">
        <v>44</v>
      </c>
      <c r="C12" t="s">
        <v>28</v>
      </c>
    </row>
    <row r="13" spans="1:15">
      <c r="A13" s="8" t="s">
        <v>45</v>
      </c>
      <c r="B13" s="8" t="s">
        <v>46</v>
      </c>
      <c r="C13" t="s">
        <v>27</v>
      </c>
    </row>
    <row r="14" spans="1:15">
      <c r="A14" s="8">
        <v>64.435197496558786</v>
      </c>
      <c r="B14" s="8">
        <v>88.252600203228113</v>
      </c>
      <c r="C14" s="3">
        <v>1.31</v>
      </c>
      <c r="D14">
        <f>A14*C14/1000</f>
        <v>8.4410108720492025E-2</v>
      </c>
      <c r="E14">
        <f>B14*C14/1000</f>
        <v>0.11561090626622884</v>
      </c>
    </row>
    <row r="15" spans="1:15">
      <c r="A15" s="8">
        <v>407.10470656129229</v>
      </c>
      <c r="B15" s="8">
        <v>64.582437702556504</v>
      </c>
      <c r="C15" s="3">
        <v>1.05</v>
      </c>
      <c r="D15">
        <f t="shared" ref="D15:D17" si="3">A15*C15/1000</f>
        <v>0.42745994188935693</v>
      </c>
      <c r="E15">
        <f t="shared" ref="E15:E17" si="4">B15*C15/1000</f>
        <v>6.7811559587684325E-2</v>
      </c>
    </row>
    <row r="16" spans="1:15">
      <c r="A16" s="8">
        <v>212.22574914168447</v>
      </c>
      <c r="B16" s="8">
        <v>55.561974448766911</v>
      </c>
      <c r="C16" s="3">
        <v>1.36</v>
      </c>
      <c r="D16">
        <f t="shared" si="3"/>
        <v>0.28862701883269093</v>
      </c>
      <c r="E16">
        <f t="shared" si="4"/>
        <v>7.5564285250323007E-2</v>
      </c>
    </row>
    <row r="17" spans="1:5">
      <c r="A17" s="8">
        <v>514.75284266278823</v>
      </c>
      <c r="B17" s="8">
        <v>86.205294426662704</v>
      </c>
      <c r="C17" s="3">
        <v>1.0249999999999999</v>
      </c>
      <c r="D17">
        <f t="shared" si="3"/>
        <v>0.52762166372935793</v>
      </c>
      <c r="E17">
        <f t="shared" si="4"/>
        <v>8.8360426787329263E-2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F9" sqref="F9"/>
    </sheetView>
  </sheetViews>
  <sheetFormatPr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29</v>
      </c>
      <c r="G1" t="s">
        <v>30</v>
      </c>
      <c r="H1" s="6" t="s">
        <v>33</v>
      </c>
      <c r="I1" s="6" t="s">
        <v>34</v>
      </c>
      <c r="J1" s="6" t="s">
        <v>43</v>
      </c>
      <c r="K1" s="6" t="s">
        <v>47</v>
      </c>
      <c r="L1" t="s">
        <v>27</v>
      </c>
      <c r="M1" t="s">
        <v>5</v>
      </c>
      <c r="N1" s="1" t="s">
        <v>6</v>
      </c>
      <c r="O1" t="s">
        <v>53</v>
      </c>
      <c r="P1" t="s">
        <v>40</v>
      </c>
      <c r="Q1" t="s">
        <v>9</v>
      </c>
      <c r="R1" t="s">
        <v>10</v>
      </c>
    </row>
    <row r="2" spans="1:18">
      <c r="A2" t="s">
        <v>50</v>
      </c>
      <c r="B2" t="s">
        <v>12</v>
      </c>
      <c r="C2">
        <v>7</v>
      </c>
      <c r="D2" t="s">
        <v>13</v>
      </c>
      <c r="E2">
        <v>8.11</v>
      </c>
      <c r="F2" s="12">
        <v>55.7866</v>
      </c>
      <c r="G2" s="12">
        <v>21.9344</v>
      </c>
      <c r="H2" s="8">
        <v>64.435197496558786</v>
      </c>
      <c r="I2" s="8">
        <v>88.252600203228113</v>
      </c>
      <c r="J2" s="10">
        <v>32.217598748279393</v>
      </c>
      <c r="K2" s="13">
        <v>6.7766666666666664</v>
      </c>
      <c r="L2" s="3">
        <v>1.31</v>
      </c>
      <c r="M2">
        <v>6.43</v>
      </c>
      <c r="N2" s="4">
        <v>490.6</v>
      </c>
      <c r="O2">
        <v>15</v>
      </c>
      <c r="P2">
        <v>0.65</v>
      </c>
    </row>
    <row r="3" spans="1:18">
      <c r="A3" t="s">
        <v>14</v>
      </c>
      <c r="B3" t="s">
        <v>15</v>
      </c>
      <c r="C3">
        <v>10</v>
      </c>
      <c r="D3" t="s">
        <v>15</v>
      </c>
      <c r="E3">
        <v>28.36</v>
      </c>
      <c r="F3" s="12">
        <v>72.749300000000005</v>
      </c>
      <c r="G3" s="12">
        <v>32.873699999999999</v>
      </c>
      <c r="H3" s="8">
        <v>407.10470656129229</v>
      </c>
      <c r="I3" s="8">
        <v>64.582437702556504</v>
      </c>
      <c r="J3" s="10">
        <v>203.55235328064614</v>
      </c>
      <c r="K3" s="13">
        <v>6.22</v>
      </c>
      <c r="L3" s="3">
        <v>1.05</v>
      </c>
      <c r="M3">
        <v>2.62</v>
      </c>
      <c r="N3" s="4">
        <v>319.7</v>
      </c>
      <c r="O3">
        <v>15</v>
      </c>
      <c r="P3">
        <v>0.65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G16" sqref="G16"/>
    </sheetView>
  </sheetViews>
  <sheetFormatPr defaultRowHeight="14"/>
  <cols>
    <col min="4" max="4" width="11.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29</v>
      </c>
      <c r="G1" t="s">
        <v>30</v>
      </c>
      <c r="H1" s="6" t="s">
        <v>33</v>
      </c>
      <c r="I1" s="6" t="s">
        <v>34</v>
      </c>
      <c r="J1" s="6" t="s">
        <v>43</v>
      </c>
      <c r="K1" s="6" t="s">
        <v>47</v>
      </c>
      <c r="L1" t="s">
        <v>27</v>
      </c>
      <c r="M1" t="s">
        <v>5</v>
      </c>
      <c r="N1" s="1" t="s">
        <v>6</v>
      </c>
      <c r="O1" t="s">
        <v>39</v>
      </c>
      <c r="P1" t="s">
        <v>40</v>
      </c>
      <c r="Q1" t="s">
        <v>9</v>
      </c>
      <c r="R1" t="s">
        <v>10</v>
      </c>
    </row>
    <row r="2" spans="1:18">
      <c r="A2" t="s">
        <v>51</v>
      </c>
      <c r="B2" t="s">
        <v>12</v>
      </c>
      <c r="C2">
        <v>7</v>
      </c>
      <c r="D2" t="s">
        <v>13</v>
      </c>
      <c r="E2">
        <v>8.11</v>
      </c>
      <c r="F2" s="12">
        <v>55.7866</v>
      </c>
      <c r="G2" s="12">
        <v>21.9344</v>
      </c>
      <c r="H2" s="8">
        <v>64.435197496558786</v>
      </c>
      <c r="I2" s="8">
        <v>88.252600203228113</v>
      </c>
      <c r="J2" s="10">
        <v>32.217598748279393</v>
      </c>
      <c r="K2" s="13">
        <v>6.7766666666666664</v>
      </c>
      <c r="L2" s="3">
        <v>1.31</v>
      </c>
      <c r="M2">
        <v>6.43</v>
      </c>
      <c r="N2" s="4">
        <v>490.6</v>
      </c>
      <c r="O2">
        <v>15</v>
      </c>
      <c r="P2">
        <v>0.65</v>
      </c>
    </row>
    <row r="3" spans="1:18">
      <c r="A3" t="s">
        <v>14</v>
      </c>
      <c r="B3" t="s">
        <v>15</v>
      </c>
      <c r="C3">
        <v>10</v>
      </c>
      <c r="D3" t="s">
        <v>15</v>
      </c>
      <c r="E3">
        <v>28.36</v>
      </c>
      <c r="F3" s="12">
        <v>72.749300000000005</v>
      </c>
      <c r="G3" s="12">
        <v>32.873699999999999</v>
      </c>
      <c r="H3" s="8">
        <v>407.10470656129229</v>
      </c>
      <c r="I3" s="8">
        <v>64.582437702556504</v>
      </c>
      <c r="J3" s="10">
        <v>203.55235328064614</v>
      </c>
      <c r="K3" s="13">
        <v>6.22</v>
      </c>
      <c r="L3" s="3">
        <v>1.05</v>
      </c>
      <c r="M3">
        <v>2.62</v>
      </c>
      <c r="N3" s="4">
        <v>319.7</v>
      </c>
      <c r="O3">
        <v>15</v>
      </c>
      <c r="P3">
        <v>0.65</v>
      </c>
    </row>
    <row r="4" spans="1:18">
      <c r="A4" t="s">
        <v>16</v>
      </c>
      <c r="B4" t="s">
        <v>15</v>
      </c>
      <c r="C4">
        <v>10</v>
      </c>
      <c r="D4" t="s">
        <v>15</v>
      </c>
      <c r="E4">
        <v>10.63</v>
      </c>
      <c r="F4" s="12">
        <v>81.472999999999999</v>
      </c>
      <c r="G4" s="12">
        <v>18.468</v>
      </c>
      <c r="H4" s="8">
        <v>212.22574914168447</v>
      </c>
      <c r="I4" s="8">
        <v>55.561974448766911</v>
      </c>
      <c r="J4" s="10">
        <v>106.11287457084224</v>
      </c>
      <c r="K4" s="13">
        <v>7.4933333333333332</v>
      </c>
      <c r="L4" s="3">
        <v>1.36</v>
      </c>
      <c r="M4">
        <v>1.87</v>
      </c>
      <c r="N4" s="4">
        <v>304.2</v>
      </c>
      <c r="O4">
        <v>15</v>
      </c>
      <c r="P4">
        <v>0.65</v>
      </c>
    </row>
    <row r="5" spans="1:18">
      <c r="A5" t="s">
        <v>17</v>
      </c>
      <c r="B5" t="s">
        <v>12</v>
      </c>
      <c r="C5">
        <v>4</v>
      </c>
      <c r="D5" t="s">
        <v>18</v>
      </c>
      <c r="E5">
        <v>44.47</v>
      </c>
      <c r="F5" s="12">
        <v>97.213200000000001</v>
      </c>
      <c r="G5" s="12">
        <v>37.720799999999997</v>
      </c>
      <c r="H5" s="8">
        <v>514.75284266278823</v>
      </c>
      <c r="I5" s="8">
        <v>86.205294426662704</v>
      </c>
      <c r="J5" s="10">
        <v>257.37642133139411</v>
      </c>
      <c r="K5" s="13">
        <v>5.9666666666666659</v>
      </c>
      <c r="L5" s="3">
        <v>1.0249999999999999</v>
      </c>
      <c r="M5">
        <v>6.12</v>
      </c>
      <c r="N5" s="4">
        <v>349</v>
      </c>
      <c r="O5">
        <v>15</v>
      </c>
      <c r="P5">
        <v>0.65</v>
      </c>
    </row>
    <row r="6" spans="1:18">
      <c r="A6" s="15" t="s">
        <v>19</v>
      </c>
      <c r="B6" s="15" t="s">
        <v>12</v>
      </c>
      <c r="C6" s="15">
        <v>2</v>
      </c>
      <c r="D6" s="15" t="s">
        <v>20</v>
      </c>
      <c r="E6" s="15">
        <v>6.73</v>
      </c>
      <c r="F6" s="20">
        <v>97.455699999999993</v>
      </c>
      <c r="G6" s="20">
        <v>35.926299999999998</v>
      </c>
      <c r="H6" s="21">
        <v>116.07105582256995</v>
      </c>
      <c r="I6" s="21">
        <v>135.439878585836</v>
      </c>
      <c r="J6" s="22">
        <v>58.035527911284973</v>
      </c>
      <c r="K6" s="17">
        <v>4.1333333333333329</v>
      </c>
      <c r="L6" s="16">
        <v>1.2150000000000001</v>
      </c>
      <c r="M6" s="15">
        <v>9.25</v>
      </c>
      <c r="N6" s="20">
        <v>601</v>
      </c>
      <c r="O6" s="15">
        <v>15</v>
      </c>
      <c r="P6">
        <v>0.65</v>
      </c>
    </row>
    <row r="7" spans="1:18">
      <c r="A7" s="15" t="s">
        <v>11</v>
      </c>
      <c r="B7" s="15" t="s">
        <v>12</v>
      </c>
      <c r="C7" s="15">
        <v>5</v>
      </c>
      <c r="D7" s="15" t="s">
        <v>21</v>
      </c>
      <c r="E7" s="15">
        <v>17.61</v>
      </c>
      <c r="F7" s="20">
        <v>71.664000000000001</v>
      </c>
      <c r="G7" s="20">
        <v>26.283999999999999</v>
      </c>
      <c r="H7" s="21">
        <v>255.25305335591281</v>
      </c>
      <c r="I7" s="21">
        <v>114.42213550239666</v>
      </c>
      <c r="J7" s="22">
        <v>127.62652667795641</v>
      </c>
      <c r="K7" s="17">
        <v>4.6433333333333335</v>
      </c>
      <c r="L7" s="16">
        <v>1.1500000000000001</v>
      </c>
      <c r="M7" s="15">
        <v>1.96</v>
      </c>
      <c r="N7" s="20">
        <v>631.5</v>
      </c>
      <c r="O7" s="15">
        <v>15</v>
      </c>
      <c r="P7">
        <v>0.65</v>
      </c>
    </row>
    <row r="8" spans="1:18">
      <c r="A8" s="15" t="s">
        <v>22</v>
      </c>
      <c r="B8" s="15" t="s">
        <v>12</v>
      </c>
      <c r="C8" s="15">
        <v>6</v>
      </c>
      <c r="D8" s="15" t="s">
        <v>23</v>
      </c>
      <c r="E8" s="15">
        <v>93.6</v>
      </c>
      <c r="F8" s="20">
        <v>52.751199999999997</v>
      </c>
      <c r="G8" s="20">
        <v>23.088799999999999</v>
      </c>
      <c r="H8" s="21">
        <v>985.64873057728107</v>
      </c>
      <c r="I8" s="21">
        <v>510.68014872040447</v>
      </c>
      <c r="J8" s="22">
        <v>492.82436528864054</v>
      </c>
      <c r="K8" s="17">
        <v>4.1999999999999993</v>
      </c>
      <c r="L8" s="16">
        <v>1</v>
      </c>
      <c r="M8" s="15">
        <v>8.6199999999999992</v>
      </c>
      <c r="N8" s="20">
        <v>895.3</v>
      </c>
      <c r="O8" s="15">
        <v>15</v>
      </c>
      <c r="P8">
        <v>0.65</v>
      </c>
    </row>
    <row r="9" spans="1:18">
      <c r="A9" s="15" t="s">
        <v>24</v>
      </c>
      <c r="B9" s="15" t="s">
        <v>15</v>
      </c>
      <c r="C9" s="15">
        <v>10</v>
      </c>
      <c r="D9" s="15" t="s">
        <v>15</v>
      </c>
      <c r="E9" s="15">
        <v>39.75</v>
      </c>
      <c r="F9" s="20">
        <v>160.577</v>
      </c>
      <c r="G9" s="20">
        <v>29.112300000000001</v>
      </c>
      <c r="H9" s="21">
        <v>474.34464925833862</v>
      </c>
      <c r="I9" s="21">
        <v>233.47681762170791</v>
      </c>
      <c r="J9" s="22">
        <v>237.17232462916931</v>
      </c>
      <c r="K9" s="17">
        <v>7.8266666666666671</v>
      </c>
      <c r="L9" s="16">
        <v>1.35</v>
      </c>
      <c r="M9" s="15">
        <v>9.4700000000000006</v>
      </c>
      <c r="N9" s="20">
        <v>413.1</v>
      </c>
      <c r="O9" s="15">
        <v>15</v>
      </c>
      <c r="P9">
        <v>0.65</v>
      </c>
    </row>
    <row r="10" spans="1:18">
      <c r="A10" s="23" t="s">
        <v>52</v>
      </c>
      <c r="B10" s="24" t="s">
        <v>15</v>
      </c>
      <c r="C10" s="24">
        <v>12</v>
      </c>
      <c r="D10" s="24" t="s">
        <v>25</v>
      </c>
      <c r="E10" s="15">
        <v>13.6</v>
      </c>
      <c r="F10" s="15">
        <v>56.937600000000003</v>
      </c>
      <c r="G10" s="15">
        <v>23.0184</v>
      </c>
      <c r="H10" s="15">
        <v>155.93631019118041</v>
      </c>
      <c r="I10" s="15">
        <v>136.24062492925052</v>
      </c>
      <c r="J10" s="15">
        <v>77.968155095590205</v>
      </c>
      <c r="K10" s="15">
        <v>5.9066666666666672</v>
      </c>
      <c r="L10" s="15">
        <v>1.27</v>
      </c>
      <c r="M10" s="15">
        <v>5.67</v>
      </c>
      <c r="N10" s="15">
        <v>516.1</v>
      </c>
      <c r="O10" s="15">
        <v>15</v>
      </c>
      <c r="P10">
        <v>0.65</v>
      </c>
    </row>
    <row r="11" spans="1:18">
      <c r="A11" s="15" t="s">
        <v>26</v>
      </c>
      <c r="B11" s="15" t="s">
        <v>15</v>
      </c>
      <c r="C11" s="15">
        <v>10</v>
      </c>
      <c r="D11" s="15" t="s">
        <v>15</v>
      </c>
      <c r="E11" s="15">
        <v>71.849999999999994</v>
      </c>
      <c r="F11" s="15">
        <v>41.054400000000001</v>
      </c>
      <c r="G11" s="15">
        <v>14.387600000000001</v>
      </c>
      <c r="H11" s="15">
        <v>810.13855063808126</v>
      </c>
      <c r="I11" s="15">
        <v>413.17497019737431</v>
      </c>
      <c r="J11" s="15">
        <v>405.06927531904063</v>
      </c>
      <c r="K11" s="15">
        <v>4.72</v>
      </c>
      <c r="L11" s="15">
        <v>1.2250000000000001</v>
      </c>
      <c r="M11" s="15">
        <v>10.26</v>
      </c>
      <c r="N11" s="15">
        <v>992.8</v>
      </c>
      <c r="O11" s="15">
        <v>15</v>
      </c>
      <c r="P11">
        <v>0.65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11" sqref="F11"/>
    </sheetView>
  </sheetViews>
  <sheetFormatPr defaultRowHeight="14"/>
  <sheetData>
    <row r="1" spans="1:4">
      <c r="A1" s="8"/>
      <c r="B1" s="14" t="s">
        <v>66</v>
      </c>
      <c r="C1" s="38" t="s">
        <v>67</v>
      </c>
      <c r="D1" s="38" t="s">
        <v>68</v>
      </c>
    </row>
    <row r="2" spans="1:4">
      <c r="A2" s="39">
        <v>1</v>
      </c>
      <c r="B2" s="40" t="s">
        <v>69</v>
      </c>
      <c r="C2" s="41">
        <v>113.24</v>
      </c>
      <c r="D2" s="41">
        <v>30.86</v>
      </c>
    </row>
    <row r="3" spans="1:4">
      <c r="A3" s="39">
        <v>2</v>
      </c>
      <c r="B3" s="42" t="s">
        <v>70</v>
      </c>
      <c r="C3" s="41">
        <v>120.1</v>
      </c>
      <c r="D3" s="41">
        <v>50.45</v>
      </c>
    </row>
    <row r="4" spans="1:4">
      <c r="A4" s="39">
        <v>7</v>
      </c>
      <c r="B4" s="42" t="s">
        <v>71</v>
      </c>
      <c r="C4" s="41">
        <v>105.46</v>
      </c>
      <c r="D4" s="41">
        <v>26.67</v>
      </c>
    </row>
    <row r="5" spans="1:4">
      <c r="A5" s="39">
        <v>8</v>
      </c>
      <c r="B5" s="42" t="s">
        <v>72</v>
      </c>
      <c r="C5" s="41">
        <v>100.1</v>
      </c>
      <c r="D5" s="41">
        <v>37.200000000000003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H20" sqref="H20"/>
    </sheetView>
  </sheetViews>
  <sheetFormatPr defaultRowHeight="14"/>
  <sheetData>
    <row r="1" spans="1:21">
      <c r="A1" s="8" t="s">
        <v>73</v>
      </c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  <c r="G1" s="8" t="s">
        <v>79</v>
      </c>
      <c r="H1" s="8" t="s">
        <v>80</v>
      </c>
      <c r="I1" s="8" t="s">
        <v>81</v>
      </c>
      <c r="J1" s="8" t="s">
        <v>82</v>
      </c>
      <c r="K1" s="8" t="s">
        <v>83</v>
      </c>
      <c r="L1" s="8" t="s">
        <v>84</v>
      </c>
      <c r="M1" s="8" t="s">
        <v>85</v>
      </c>
      <c r="N1" s="8" t="s">
        <v>86</v>
      </c>
      <c r="O1" s="8" t="s">
        <v>87</v>
      </c>
      <c r="P1" s="8" t="s">
        <v>64</v>
      </c>
      <c r="Q1" s="8" t="s">
        <v>88</v>
      </c>
      <c r="R1" s="8" t="s">
        <v>89</v>
      </c>
      <c r="S1" s="8" t="s">
        <v>90</v>
      </c>
      <c r="T1" s="8" t="s">
        <v>91</v>
      </c>
      <c r="U1" s="8" t="s">
        <v>92</v>
      </c>
    </row>
    <row r="2" spans="1:21">
      <c r="A2" s="43" t="s">
        <v>93</v>
      </c>
      <c r="B2" s="44">
        <v>105.4639</v>
      </c>
      <c r="C2" s="44">
        <v>26.6722</v>
      </c>
      <c r="D2" s="45" t="s">
        <v>94</v>
      </c>
      <c r="E2" s="46">
        <v>9.4601773749999598</v>
      </c>
      <c r="F2" s="47">
        <v>0.51068014872040401</v>
      </c>
      <c r="G2" s="47">
        <v>0.98564873057728097</v>
      </c>
      <c r="H2" s="48">
        <v>67.705388119999995</v>
      </c>
      <c r="I2" s="49">
        <v>93.60088501635876</v>
      </c>
      <c r="J2" s="45">
        <v>8.6171389999999999</v>
      </c>
      <c r="K2" s="49">
        <v>86.936152333333325</v>
      </c>
      <c r="L2" s="45">
        <v>4.1999999999999993</v>
      </c>
      <c r="M2" s="49">
        <v>0.2</v>
      </c>
      <c r="N2" s="43">
        <v>1027.5000000000002</v>
      </c>
      <c r="O2" s="50">
        <v>1</v>
      </c>
      <c r="P2" s="51">
        <v>0.55402499999999999</v>
      </c>
      <c r="Q2" s="49">
        <v>2.6519273031605</v>
      </c>
      <c r="R2" s="49">
        <v>2.6523907445881498</v>
      </c>
      <c r="S2" s="49">
        <v>15.177026155654699</v>
      </c>
      <c r="T2" s="49">
        <v>0.25698319786786999</v>
      </c>
      <c r="U2" s="49">
        <v>12.907132986408403</v>
      </c>
    </row>
    <row r="3" spans="1:21" ht="14.5">
      <c r="A3" s="52" t="s">
        <v>95</v>
      </c>
      <c r="B3" s="44">
        <v>100.0959</v>
      </c>
      <c r="C3" s="44">
        <v>37.203229999999998</v>
      </c>
      <c r="D3" s="45" t="s">
        <v>96</v>
      </c>
      <c r="E3" s="46">
        <v>3.2156316019417202</v>
      </c>
      <c r="F3" s="47">
        <v>0.23347681762170799</v>
      </c>
      <c r="G3" s="47">
        <v>0.47434464925833797</v>
      </c>
      <c r="H3" s="48">
        <v>35.505668419999999</v>
      </c>
      <c r="I3" s="49">
        <v>39.752600419093888</v>
      </c>
      <c r="J3" s="45">
        <v>9.4738129999999998</v>
      </c>
      <c r="K3" s="49">
        <v>70.456474999999998</v>
      </c>
      <c r="L3" s="45">
        <v>7.8266666666666671</v>
      </c>
      <c r="M3" s="49">
        <v>0.2</v>
      </c>
      <c r="N3" s="43">
        <v>1357.5000000000002</v>
      </c>
      <c r="O3" s="50">
        <v>1</v>
      </c>
      <c r="P3" s="51">
        <v>0.45974999999999999</v>
      </c>
      <c r="Q3" s="49">
        <v>0.67613235132143601</v>
      </c>
      <c r="R3" s="49">
        <v>0.65749758392164104</v>
      </c>
      <c r="S3" s="49">
        <v>3.2798871677346702</v>
      </c>
      <c r="T3" s="49">
        <v>0.150477954353372</v>
      </c>
      <c r="U3" s="49">
        <v>-0.37877230709543702</v>
      </c>
    </row>
    <row r="4" spans="1:21">
      <c r="A4" s="43" t="s">
        <v>97</v>
      </c>
      <c r="B4" s="44">
        <v>114.46137</v>
      </c>
      <c r="C4" s="44">
        <v>30.962119999999999</v>
      </c>
      <c r="D4" s="45" t="s">
        <v>98</v>
      </c>
      <c r="E4" s="46">
        <v>3.1290955751682898</v>
      </c>
      <c r="F4" s="53">
        <v>0.13624062492925099</v>
      </c>
      <c r="G4" s="53">
        <v>0.15593631019118001</v>
      </c>
      <c r="H4" s="48">
        <v>10.390437439999999</v>
      </c>
      <c r="I4" s="49">
        <v>13.598796765144264</v>
      </c>
      <c r="J4" s="45">
        <v>5.6733413333333331</v>
      </c>
      <c r="K4" s="49">
        <v>51.187165</v>
      </c>
      <c r="L4" s="45">
        <v>5.9066666666666672</v>
      </c>
      <c r="M4" s="49">
        <v>0.2</v>
      </c>
      <c r="N4" s="43">
        <v>1307.5000000000002</v>
      </c>
      <c r="O4" s="50">
        <v>1</v>
      </c>
      <c r="P4" s="51">
        <v>0.47775000000000001</v>
      </c>
      <c r="Q4" s="49">
        <v>2.58531650689826</v>
      </c>
      <c r="R4" s="49">
        <v>2.5341520185339901</v>
      </c>
      <c r="S4" s="49">
        <v>17.4143864570513</v>
      </c>
      <c r="T4" s="49">
        <v>0.25853256028074101</v>
      </c>
      <c r="U4" s="49">
        <v>17.124906056025278</v>
      </c>
    </row>
    <row r="5" spans="1:21" ht="14.5">
      <c r="A5" s="52" t="s">
        <v>99</v>
      </c>
      <c r="B5" s="54">
        <v>110.36</v>
      </c>
      <c r="C5" s="54">
        <v>24.44</v>
      </c>
      <c r="D5" s="45" t="s">
        <v>98</v>
      </c>
      <c r="E5" s="46">
        <v>13.6724508965785</v>
      </c>
      <c r="F5" s="53">
        <v>0.41317497019737404</v>
      </c>
      <c r="G5" s="53">
        <v>0.81013855063808204</v>
      </c>
      <c r="H5" s="48">
        <v>48.612446990000002</v>
      </c>
      <c r="I5" s="49">
        <v>71.847558994546219</v>
      </c>
      <c r="J5" s="45">
        <v>10.261302333333333</v>
      </c>
      <c r="K5" s="49">
        <v>65.586189666666655</v>
      </c>
      <c r="L5" s="45">
        <v>4.72</v>
      </c>
      <c r="M5" s="49">
        <v>0.2</v>
      </c>
      <c r="N5" s="43">
        <v>1262.5000000000002</v>
      </c>
      <c r="O5" s="50">
        <v>0</v>
      </c>
      <c r="P5" s="51">
        <v>0.48530000000000006</v>
      </c>
      <c r="Q5" s="49">
        <v>3.0066948912731601</v>
      </c>
      <c r="R5" s="49">
        <v>3.0150548990458699</v>
      </c>
      <c r="S5" s="49">
        <v>22.875390230361699</v>
      </c>
      <c r="T5" s="49">
        <v>0.28148527929329697</v>
      </c>
      <c r="U5" s="49">
        <v>21.155417196195437</v>
      </c>
    </row>
    <row r="6" spans="1:21">
      <c r="A6" s="55" t="s">
        <v>100</v>
      </c>
      <c r="B6" s="56">
        <v>110.0814</v>
      </c>
      <c r="C6" s="56">
        <v>26.179486000000001</v>
      </c>
      <c r="D6" s="57" t="s">
        <v>101</v>
      </c>
      <c r="E6" s="58">
        <v>3.65205012227073</v>
      </c>
      <c r="F6" s="59">
        <v>0.20704233030721</v>
      </c>
      <c r="G6" s="59">
        <v>0.58425977642982607</v>
      </c>
      <c r="H6" s="60">
        <v>45.587243960000002</v>
      </c>
      <c r="I6" s="8">
        <v>55.330645761665075</v>
      </c>
      <c r="J6" s="57">
        <v>10.551817666666667</v>
      </c>
      <c r="K6" s="8">
        <v>73.987009666666665</v>
      </c>
      <c r="L6" s="57">
        <v>4.4366666666666665</v>
      </c>
      <c r="M6" s="8">
        <v>0.2</v>
      </c>
      <c r="N6" s="55">
        <v>782.50000000000011</v>
      </c>
      <c r="O6" s="61">
        <v>1</v>
      </c>
      <c r="P6" s="62">
        <v>0.61840000000000006</v>
      </c>
      <c r="Q6" s="8">
        <v>3.2199584119328102</v>
      </c>
      <c r="R6" s="8">
        <v>3.1813798424315798</v>
      </c>
      <c r="S6" s="8">
        <v>19.005010389354101</v>
      </c>
      <c r="T6" s="8">
        <v>0.276717748144718</v>
      </c>
      <c r="U6" s="8">
        <v>18.022619679072157</v>
      </c>
    </row>
    <row r="7" spans="1:21" ht="14.5">
      <c r="A7" s="63" t="s">
        <v>102</v>
      </c>
      <c r="B7" s="56">
        <v>110.32</v>
      </c>
      <c r="C7" s="56">
        <v>31.46</v>
      </c>
      <c r="D7" s="57" t="s">
        <v>103</v>
      </c>
      <c r="E7" s="58">
        <v>5.6016975190839799</v>
      </c>
      <c r="F7" s="59">
        <v>0.14378423320636902</v>
      </c>
      <c r="G7" s="59">
        <v>0.43092739674090896</v>
      </c>
      <c r="H7" s="60">
        <v>41.745882539999997</v>
      </c>
      <c r="I7" s="8">
        <v>50.636687980054894</v>
      </c>
      <c r="J7" s="57">
        <v>11.498660999999998</v>
      </c>
      <c r="K7" s="8">
        <v>77.771257666666671</v>
      </c>
      <c r="L7" s="57">
        <v>4.7700000000000005</v>
      </c>
      <c r="M7" s="8">
        <v>0.2</v>
      </c>
      <c r="N7" s="55">
        <v>985.00000000000023</v>
      </c>
      <c r="O7" s="61">
        <v>1</v>
      </c>
      <c r="P7" s="62">
        <v>0.57289999999999996</v>
      </c>
      <c r="Q7" s="8">
        <v>3.09142519300931</v>
      </c>
      <c r="R7" s="8">
        <v>3.0771802895689699</v>
      </c>
      <c r="S7" s="8">
        <v>14.964547815610301</v>
      </c>
      <c r="T7" s="8">
        <v>0.26882194115119401</v>
      </c>
      <c r="U7" s="8">
        <v>15.05661126123716</v>
      </c>
    </row>
    <row r="8" spans="1:21">
      <c r="A8" s="55" t="s">
        <v>104</v>
      </c>
      <c r="B8" s="56">
        <v>98.667320000000004</v>
      </c>
      <c r="C8" s="56">
        <v>24.858779999999999</v>
      </c>
      <c r="D8" s="57" t="s">
        <v>103</v>
      </c>
      <c r="E8" s="58">
        <v>0.32501051470588299</v>
      </c>
      <c r="F8" s="59">
        <v>7.2645409792300594E-2</v>
      </c>
      <c r="G8" s="59">
        <v>3.0490133235964202E-2</v>
      </c>
      <c r="H8" s="60">
        <v>4.0661966290000002</v>
      </c>
      <c r="I8" s="8">
        <v>4.1953874783140428</v>
      </c>
      <c r="J8" s="57">
        <v>5.3617766666666666</v>
      </c>
      <c r="K8" s="8">
        <v>41.864648333333335</v>
      </c>
      <c r="L8" s="57">
        <v>4.9233333333333329</v>
      </c>
      <c r="M8" s="8">
        <v>0.2</v>
      </c>
      <c r="N8" s="55">
        <v>1135.0000000000002</v>
      </c>
      <c r="O8" s="61">
        <v>0</v>
      </c>
      <c r="P8" s="62">
        <v>0.52590000000000003</v>
      </c>
      <c r="Q8" s="8">
        <v>1.8919476050220101</v>
      </c>
      <c r="R8" s="8">
        <v>1.8388333287957599</v>
      </c>
      <c r="S8" s="8">
        <v>21.490867947513099</v>
      </c>
      <c r="T8" s="8">
        <v>0.25507820732136299</v>
      </c>
      <c r="U8" s="8">
        <v>21.80597341877144</v>
      </c>
    </row>
    <row r="9" spans="1:21" ht="14.5">
      <c r="A9" s="63" t="s">
        <v>105</v>
      </c>
      <c r="B9" s="56">
        <v>122.4859</v>
      </c>
      <c r="C9" s="56">
        <v>42.720700000000001</v>
      </c>
      <c r="D9" s="57" t="s">
        <v>103</v>
      </c>
      <c r="E9" s="58">
        <v>3.8211754106910001</v>
      </c>
      <c r="F9" s="59">
        <v>7.7596718732703587E-2</v>
      </c>
      <c r="G9" s="59">
        <v>9.7086217623771301E-2</v>
      </c>
      <c r="H9" s="60">
        <v>24.983387799999999</v>
      </c>
      <c r="I9" s="8">
        <v>31.844285838024135</v>
      </c>
      <c r="J9" s="57">
        <v>6.8971990000000005</v>
      </c>
      <c r="K9" s="8">
        <v>63.032217333333335</v>
      </c>
      <c r="L9" s="57">
        <v>5.4899999999999993</v>
      </c>
      <c r="M9" s="8">
        <v>0.2</v>
      </c>
      <c r="N9" s="55">
        <v>1420.0000000000002</v>
      </c>
      <c r="O9" s="61">
        <v>1</v>
      </c>
      <c r="P9" s="62">
        <v>0.43612499999999998</v>
      </c>
      <c r="Q9" s="8">
        <v>1.41837893567201</v>
      </c>
      <c r="R9" s="8">
        <v>1.3999149107769699</v>
      </c>
      <c r="S9" s="8">
        <v>7.8270596443072096</v>
      </c>
      <c r="T9" s="8">
        <v>0.17604813973781799</v>
      </c>
      <c r="U9" s="8">
        <v>6.8799438392952883</v>
      </c>
    </row>
    <row r="10" spans="1:21">
      <c r="A10" s="55" t="s">
        <v>106</v>
      </c>
      <c r="B10" s="56">
        <v>112.94</v>
      </c>
      <c r="C10" s="56">
        <v>28.19</v>
      </c>
      <c r="D10" s="57" t="s">
        <v>107</v>
      </c>
      <c r="E10" s="58">
        <v>1.3151425732217501</v>
      </c>
      <c r="F10" s="59">
        <v>0.20613345402453501</v>
      </c>
      <c r="G10" s="59">
        <v>0.13871887435554398</v>
      </c>
      <c r="H10" s="60">
        <v>19.82277891</v>
      </c>
      <c r="I10" s="8">
        <v>24.313681055338275</v>
      </c>
      <c r="J10" s="57">
        <v>8.0411216666666672</v>
      </c>
      <c r="K10" s="8">
        <v>66.808247333333327</v>
      </c>
      <c r="L10" s="57">
        <v>5.2633333333333336</v>
      </c>
      <c r="M10" s="8">
        <v>0.2</v>
      </c>
      <c r="N10" s="55">
        <v>1285.0000000000002</v>
      </c>
      <c r="O10" s="61">
        <v>1</v>
      </c>
      <c r="P10" s="62">
        <v>0.48575000000000002</v>
      </c>
      <c r="Q10" s="8">
        <v>3.0568165730582901</v>
      </c>
      <c r="R10" s="8">
        <v>2.9169484662683001</v>
      </c>
      <c r="S10" s="8">
        <v>18.791654183165601</v>
      </c>
      <c r="T10" s="8">
        <v>0.29739285604431198</v>
      </c>
      <c r="U10" s="8">
        <v>17.89203377501606</v>
      </c>
    </row>
    <row r="11" spans="1:21" ht="14.5">
      <c r="A11" s="63" t="s">
        <v>108</v>
      </c>
      <c r="B11" s="56">
        <v>102.62</v>
      </c>
      <c r="C11" s="56">
        <v>24.98</v>
      </c>
      <c r="D11" s="57" t="s">
        <v>103</v>
      </c>
      <c r="E11" s="58">
        <v>6.9563594339622599</v>
      </c>
      <c r="F11" s="59">
        <v>0.15156803755113299</v>
      </c>
      <c r="G11" s="59">
        <v>0.393703317485467</v>
      </c>
      <c r="H11" s="60">
        <v>34.310811100000002</v>
      </c>
      <c r="I11" s="8">
        <v>44.397143836535498</v>
      </c>
      <c r="J11" s="57">
        <v>9.3588576666666672</v>
      </c>
      <c r="K11" s="8">
        <v>72.423833666666667</v>
      </c>
      <c r="L11" s="57">
        <v>5.8133333333333326</v>
      </c>
      <c r="M11" s="8">
        <v>0.2</v>
      </c>
      <c r="N11" s="55">
        <v>1175.0000000000002</v>
      </c>
      <c r="O11" s="61">
        <v>1</v>
      </c>
      <c r="P11" s="62">
        <v>0.518625</v>
      </c>
      <c r="Q11" s="8">
        <v>1.65771143449317</v>
      </c>
      <c r="R11" s="8">
        <v>1.7547444928182301</v>
      </c>
      <c r="S11" s="8">
        <v>18.176000934757599</v>
      </c>
      <c r="T11" s="8">
        <v>0.23585920908149</v>
      </c>
      <c r="U11" s="8">
        <v>15.311908059316158</v>
      </c>
    </row>
    <row r="12" spans="1:21">
      <c r="A12" s="55" t="s">
        <v>109</v>
      </c>
      <c r="B12" s="56">
        <v>108.39</v>
      </c>
      <c r="C12" s="56">
        <v>22.78</v>
      </c>
      <c r="D12" s="57" t="s">
        <v>107</v>
      </c>
      <c r="E12" s="58">
        <v>0.60684947368420805</v>
      </c>
      <c r="F12" s="59">
        <v>0.139224747477591</v>
      </c>
      <c r="G12" s="59">
        <v>0.24062585888711999</v>
      </c>
      <c r="H12" s="60">
        <v>13.592219070000001</v>
      </c>
      <c r="I12" s="8">
        <v>20.158082685674163</v>
      </c>
      <c r="J12" s="57">
        <v>15.385166333333332</v>
      </c>
      <c r="K12" s="8">
        <v>49.498461666666664</v>
      </c>
      <c r="L12" s="57">
        <v>4.3133333333333335</v>
      </c>
      <c r="M12" s="8">
        <v>0.2</v>
      </c>
      <c r="N12" s="55">
        <v>1217.5000000000002</v>
      </c>
      <c r="O12" s="61">
        <v>0</v>
      </c>
      <c r="P12" s="62">
        <v>0.50309999999999999</v>
      </c>
      <c r="Q12" s="8">
        <v>3.1106780826841298</v>
      </c>
      <c r="R12" s="8">
        <v>3.1241449365877099</v>
      </c>
      <c r="S12" s="8">
        <v>23.117206988608999</v>
      </c>
      <c r="T12" s="8">
        <v>0.27662103915622799</v>
      </c>
      <c r="U12" s="8">
        <v>21.357987846479084</v>
      </c>
    </row>
    <row r="13" spans="1:21" ht="14.5">
      <c r="A13" s="63" t="s">
        <v>110</v>
      </c>
      <c r="B13" s="56">
        <v>113.29</v>
      </c>
      <c r="C13" s="56">
        <v>23.17</v>
      </c>
      <c r="D13" s="57" t="s">
        <v>111</v>
      </c>
      <c r="E13" s="58">
        <v>1.9761892847593601</v>
      </c>
      <c r="F13" s="59">
        <v>0.16729433734563301</v>
      </c>
      <c r="G13" s="59">
        <v>0.41567485324838704</v>
      </c>
      <c r="H13" s="60">
        <v>20.958489749999998</v>
      </c>
      <c r="I13" s="8">
        <v>42.263276408252864</v>
      </c>
      <c r="J13" s="57">
        <v>8.5085993333333327</v>
      </c>
      <c r="K13" s="8">
        <v>45.647386666666662</v>
      </c>
      <c r="L13" s="57">
        <v>4.1033333333333335</v>
      </c>
      <c r="M13" s="8">
        <v>0.2</v>
      </c>
      <c r="N13" s="55">
        <v>1180.0000000000002</v>
      </c>
      <c r="O13" s="61">
        <v>1</v>
      </c>
      <c r="P13" s="62">
        <v>0.50797499999999995</v>
      </c>
      <c r="Q13" s="8">
        <v>3.1518260713309498</v>
      </c>
      <c r="R13" s="8">
        <v>3.12230033776531</v>
      </c>
      <c r="S13" s="8">
        <v>22.821541212108102</v>
      </c>
      <c r="T13" s="8">
        <v>0.28093668256679599</v>
      </c>
      <c r="U13" s="8">
        <v>21.629328797222861</v>
      </c>
    </row>
    <row r="14" spans="1:21">
      <c r="A14" s="55" t="s">
        <v>112</v>
      </c>
      <c r="B14" s="56">
        <v>101.9</v>
      </c>
      <c r="C14" s="56">
        <v>29.6</v>
      </c>
      <c r="D14" s="57" t="s">
        <v>101</v>
      </c>
      <c r="E14" s="58">
        <v>12.3720326628099</v>
      </c>
      <c r="F14" s="59">
        <v>0.19365981148057301</v>
      </c>
      <c r="G14" s="59">
        <v>1.04382738896615</v>
      </c>
      <c r="H14" s="60">
        <v>39.804864000000002</v>
      </c>
      <c r="I14" s="8">
        <v>98.374502957578741</v>
      </c>
      <c r="J14" s="57">
        <v>5.8270373333333332</v>
      </c>
      <c r="K14" s="8">
        <v>58.793130333333337</v>
      </c>
      <c r="L14" s="57">
        <v>7.2566666666666668</v>
      </c>
      <c r="M14" s="8">
        <v>0.2</v>
      </c>
      <c r="N14" s="55">
        <v>1087.5000000000002</v>
      </c>
      <c r="O14" s="61">
        <v>1</v>
      </c>
      <c r="P14" s="62">
        <v>0.53075000000000006</v>
      </c>
      <c r="Q14" s="8">
        <v>1.8230898876119499</v>
      </c>
      <c r="R14" s="8">
        <v>1.83591096221584</v>
      </c>
      <c r="S14" s="8">
        <v>13.1577641944363</v>
      </c>
      <c r="T14" s="8">
        <v>0.248728740067515</v>
      </c>
      <c r="U14" s="8">
        <v>11.200655701519683</v>
      </c>
    </row>
    <row r="15" spans="1:21" ht="14.5">
      <c r="A15" s="63" t="s">
        <v>113</v>
      </c>
      <c r="B15" s="56">
        <v>117.99160000000001</v>
      </c>
      <c r="C15" s="56">
        <v>27.709</v>
      </c>
      <c r="D15" s="57" t="s">
        <v>103</v>
      </c>
      <c r="E15" s="58">
        <v>2.8570406645056701</v>
      </c>
      <c r="F15" s="59">
        <v>0.133675837303494</v>
      </c>
      <c r="G15" s="59">
        <v>0.229661042839784</v>
      </c>
      <c r="H15" s="60">
        <v>18.249078860000001</v>
      </c>
      <c r="I15" s="8">
        <v>30.793018380700946</v>
      </c>
      <c r="J15" s="57">
        <v>9.3421019999999988</v>
      </c>
      <c r="K15" s="8">
        <v>30.26417166666667</v>
      </c>
      <c r="L15" s="57">
        <v>3.9166666666666665</v>
      </c>
      <c r="M15" s="8">
        <v>0.2</v>
      </c>
      <c r="N15" s="55">
        <v>1355.0000000000002</v>
      </c>
      <c r="O15" s="61">
        <v>0</v>
      </c>
      <c r="P15" s="62">
        <v>0.46507500000000002</v>
      </c>
      <c r="Q15" s="8">
        <v>2.0240091130532898</v>
      </c>
      <c r="R15" s="8">
        <v>1.6300615278008901</v>
      </c>
      <c r="S15" s="8">
        <v>17.790690446409499</v>
      </c>
      <c r="T15" s="8">
        <v>0.285530227620308</v>
      </c>
      <c r="U15" s="8">
        <v>17.617526353809961</v>
      </c>
    </row>
    <row r="16" spans="1:21">
      <c r="A16" s="55" t="s">
        <v>114</v>
      </c>
      <c r="B16" s="56">
        <v>106.42100000000001</v>
      </c>
      <c r="C16" s="56">
        <v>29.565999999999999</v>
      </c>
      <c r="D16" s="57" t="s">
        <v>111</v>
      </c>
      <c r="E16" s="58">
        <v>8.1399783636363505</v>
      </c>
      <c r="F16" s="59">
        <v>9.3133318266237594E-2</v>
      </c>
      <c r="G16" s="59">
        <v>0.43307535216068904</v>
      </c>
      <c r="H16" s="60">
        <v>32.693888700000002</v>
      </c>
      <c r="I16" s="8">
        <v>51.881750674822534</v>
      </c>
      <c r="J16" s="57">
        <v>15.712876</v>
      </c>
      <c r="K16" s="8">
        <v>78.534717000000001</v>
      </c>
      <c r="L16" s="57">
        <v>5.6533333333333333</v>
      </c>
      <c r="M16" s="8">
        <v>0.2</v>
      </c>
      <c r="N16" s="55">
        <v>1262.5000000000002</v>
      </c>
      <c r="O16" s="61">
        <v>1</v>
      </c>
      <c r="P16" s="62">
        <v>0.48860000000000003</v>
      </c>
      <c r="Q16" s="8">
        <v>3.0143322042304401</v>
      </c>
      <c r="R16" s="8">
        <v>3.0786650897705399</v>
      </c>
      <c r="S16" s="8">
        <v>17.009947876812699</v>
      </c>
      <c r="T16" s="8">
        <v>0.26516652277418201</v>
      </c>
      <c r="U16" s="8">
        <v>16.085022290373523</v>
      </c>
    </row>
    <row r="17" spans="1:21" ht="14.5">
      <c r="A17" s="64" t="s">
        <v>115</v>
      </c>
      <c r="B17" s="65">
        <v>128.012</v>
      </c>
      <c r="C17" s="65">
        <v>42.22</v>
      </c>
      <c r="D17" s="66" t="s">
        <v>116</v>
      </c>
      <c r="E17" s="67">
        <v>3.44171484931505</v>
      </c>
      <c r="F17" s="68">
        <v>7.4693588925250104E-2</v>
      </c>
      <c r="G17" s="68">
        <v>0.29046804280634503</v>
      </c>
      <c r="H17" s="69">
        <v>27.42167195</v>
      </c>
      <c r="I17" s="70">
        <v>24.925581358353735</v>
      </c>
      <c r="J17" s="66">
        <v>6.0892073333333334</v>
      </c>
      <c r="K17" s="70">
        <v>72.587796666666662</v>
      </c>
      <c r="L17" s="66">
        <v>5.2633333333333328</v>
      </c>
      <c r="M17" s="70">
        <v>0.2</v>
      </c>
      <c r="N17" s="71">
        <v>1185.0000000000002</v>
      </c>
      <c r="O17" s="72">
        <v>1</v>
      </c>
      <c r="P17" s="73">
        <v>0.51064999999999994</v>
      </c>
      <c r="Q17" s="70">
        <v>1.72379875320763</v>
      </c>
      <c r="R17" s="70">
        <v>1.5617976627121199</v>
      </c>
      <c r="S17" s="70">
        <v>3.97172419007188</v>
      </c>
      <c r="T17" s="70">
        <v>0.224282290630341</v>
      </c>
      <c r="U17" s="70">
        <v>3.9497748973271882</v>
      </c>
    </row>
    <row r="18" spans="1:21">
      <c r="A18" s="43" t="s">
        <v>117</v>
      </c>
      <c r="B18" s="44">
        <v>118.6999</v>
      </c>
      <c r="C18" s="44">
        <v>43.588999999999999</v>
      </c>
      <c r="D18" s="45" t="s">
        <v>98</v>
      </c>
      <c r="E18" s="46">
        <v>0.91382600258732105</v>
      </c>
      <c r="F18" s="53">
        <v>5.5561974448766899E-2</v>
      </c>
      <c r="G18" s="53">
        <v>0.21222574914168499</v>
      </c>
      <c r="H18" s="48">
        <v>7.6987623090000001</v>
      </c>
      <c r="I18" s="49">
        <v>10.634680496088141</v>
      </c>
      <c r="J18" s="45">
        <v>1.8711473333333331</v>
      </c>
      <c r="K18" s="49">
        <v>25.205540666666668</v>
      </c>
      <c r="L18" s="45">
        <v>7.4933333333333332</v>
      </c>
      <c r="M18" s="49">
        <v>0.2</v>
      </c>
      <c r="N18" s="43">
        <v>1367.5000000000002</v>
      </c>
      <c r="O18" s="50">
        <v>1</v>
      </c>
      <c r="P18" s="51">
        <v>0.45522499999999999</v>
      </c>
      <c r="Q18" s="49">
        <v>0.43245256122979903</v>
      </c>
      <c r="R18" s="49">
        <v>0.50144037739054803</v>
      </c>
      <c r="S18" s="49">
        <v>3.5758824826593201</v>
      </c>
      <c r="T18" s="49">
        <v>0.115831065125162</v>
      </c>
      <c r="U18" s="49">
        <v>2.2996554272795597</v>
      </c>
    </row>
    <row r="19" spans="1:21" ht="14.5">
      <c r="A19" s="52" t="s">
        <v>118</v>
      </c>
      <c r="B19" s="74">
        <v>113.82</v>
      </c>
      <c r="C19" s="74">
        <v>27.72</v>
      </c>
      <c r="D19" s="45" t="s">
        <v>94</v>
      </c>
      <c r="E19" s="46">
        <v>0.19547056768559001</v>
      </c>
      <c r="F19" s="53">
        <v>0.135439878585836</v>
      </c>
      <c r="G19" s="53">
        <v>0.11607105582257</v>
      </c>
      <c r="H19" s="48">
        <v>5.2908770389999997</v>
      </c>
      <c r="I19" s="49">
        <v>6.7250291918241478</v>
      </c>
      <c r="J19" s="45">
        <v>9.2519159999999996</v>
      </c>
      <c r="K19" s="49">
        <v>76.589109666666658</v>
      </c>
      <c r="L19" s="45">
        <v>4.1333333333333329</v>
      </c>
      <c r="M19" s="49">
        <v>0.2</v>
      </c>
      <c r="N19" s="43">
        <v>1247.5000000000002</v>
      </c>
      <c r="O19" s="50">
        <v>0</v>
      </c>
      <c r="P19" s="51">
        <v>0.49447499999999989</v>
      </c>
      <c r="Q19" s="49">
        <v>1.8600638852620599</v>
      </c>
      <c r="R19" s="49">
        <v>1.6703106140437201</v>
      </c>
      <c r="S19" s="49">
        <v>19.805455552192601</v>
      </c>
      <c r="T19" s="49">
        <v>0.29329412177695002</v>
      </c>
      <c r="U19" s="49">
        <v>19.290757070044961</v>
      </c>
    </row>
    <row r="20" spans="1:21">
      <c r="A20" s="75" t="s">
        <v>119</v>
      </c>
      <c r="B20" s="74">
        <v>120.1</v>
      </c>
      <c r="C20" s="74">
        <v>50.45</v>
      </c>
      <c r="D20" s="45" t="s">
        <v>98</v>
      </c>
      <c r="E20" s="46">
        <v>5.7682061718750104</v>
      </c>
      <c r="F20" s="47">
        <v>6.4582437702556506E-2</v>
      </c>
      <c r="G20" s="47">
        <v>0.407104706561292</v>
      </c>
      <c r="H20" s="48">
        <v>24.914421130000001</v>
      </c>
      <c r="I20" s="49">
        <v>28.361694571283618</v>
      </c>
      <c r="J20" s="45">
        <v>2.6231969999999998</v>
      </c>
      <c r="K20" s="49">
        <v>42.565676333333329</v>
      </c>
      <c r="L20" s="45">
        <v>6.22</v>
      </c>
      <c r="M20" s="49">
        <v>0.2</v>
      </c>
      <c r="N20" s="43">
        <v>1122.5000000000002</v>
      </c>
      <c r="O20" s="50">
        <v>1</v>
      </c>
      <c r="P20" s="51">
        <v>0.52692500000000009</v>
      </c>
      <c r="Q20" s="49">
        <v>1.13748917601594</v>
      </c>
      <c r="R20" s="49">
        <v>1.08799431854731</v>
      </c>
      <c r="S20" s="49">
        <v>0.90517143312223403</v>
      </c>
      <c r="T20" s="49">
        <v>0.17685790849548499</v>
      </c>
      <c r="U20" s="49">
        <v>-1.7993987368230697</v>
      </c>
    </row>
    <row r="21" spans="1:21" ht="14.5">
      <c r="A21" s="76" t="s">
        <v>120</v>
      </c>
      <c r="B21" s="44">
        <v>113.24290000000001</v>
      </c>
      <c r="C21" s="44">
        <v>30.856000000000002</v>
      </c>
      <c r="D21" s="45" t="s">
        <v>94</v>
      </c>
      <c r="E21" s="46">
        <v>0.37112420792079298</v>
      </c>
      <c r="F21" s="47">
        <v>8.8252600203228102E-2</v>
      </c>
      <c r="G21" s="47">
        <v>6.4435197496558794E-2</v>
      </c>
      <c r="H21" s="48">
        <v>6.1017872730000002</v>
      </c>
      <c r="I21" s="49">
        <v>6.8884134602511642</v>
      </c>
      <c r="J21" s="45">
        <v>6.4307429999999997</v>
      </c>
      <c r="K21" s="49">
        <v>55.369179333333335</v>
      </c>
      <c r="L21" s="45">
        <v>6.7766666666666664</v>
      </c>
      <c r="M21" s="49">
        <v>0.2</v>
      </c>
      <c r="N21" s="43">
        <v>1345.0000000000002</v>
      </c>
      <c r="O21" s="50">
        <v>1</v>
      </c>
      <c r="P21" s="51">
        <v>0.46732500000000005</v>
      </c>
      <c r="Q21" s="49">
        <v>2.71496536561403</v>
      </c>
      <c r="R21" s="49">
        <v>2.6737765328524898</v>
      </c>
      <c r="S21" s="49">
        <v>18.233792627622002</v>
      </c>
      <c r="T21" s="49">
        <v>0.254542073589482</v>
      </c>
      <c r="U21" s="49">
        <v>17.380246180704219</v>
      </c>
    </row>
    <row r="22" spans="1:21">
      <c r="A22" s="43" t="s">
        <v>121</v>
      </c>
      <c r="B22" s="74">
        <v>117.72</v>
      </c>
      <c r="C22" s="74">
        <v>28.07</v>
      </c>
      <c r="D22" s="45" t="s">
        <v>122</v>
      </c>
      <c r="E22" s="46">
        <v>2.3363310648030402</v>
      </c>
      <c r="F22" s="53">
        <v>0.11442213550239699</v>
      </c>
      <c r="G22" s="53">
        <v>0.25525305335591303</v>
      </c>
      <c r="H22" s="48">
        <v>4.4009884809999997</v>
      </c>
      <c r="I22" s="49">
        <v>17.612714194555952</v>
      </c>
      <c r="J22" s="45">
        <v>1.9566506666666668</v>
      </c>
      <c r="K22" s="49">
        <v>11.484393333333333</v>
      </c>
      <c r="L22" s="45">
        <v>4.6433333333333335</v>
      </c>
      <c r="M22" s="49">
        <v>0.2</v>
      </c>
      <c r="N22" s="43">
        <v>1180.0000000000002</v>
      </c>
      <c r="O22" s="50">
        <v>0</v>
      </c>
      <c r="P22" s="51">
        <v>0.52300000000000002</v>
      </c>
      <c r="Q22" s="49">
        <v>2.0240091130532898</v>
      </c>
      <c r="R22" s="49">
        <v>1.6300615278008901</v>
      </c>
      <c r="S22" s="49">
        <v>17.790690446409499</v>
      </c>
      <c r="T22" s="49">
        <v>0.285530227620308</v>
      </c>
      <c r="U22" s="49">
        <v>17.617526353809961</v>
      </c>
    </row>
    <row r="23" spans="1:21" ht="14.5">
      <c r="A23" s="52" t="s">
        <v>123</v>
      </c>
      <c r="B23" s="44">
        <v>126.263187</v>
      </c>
      <c r="C23" s="44">
        <v>48.705589000000003</v>
      </c>
      <c r="D23" s="45" t="s">
        <v>94</v>
      </c>
      <c r="E23" s="46">
        <v>10.3745122576867</v>
      </c>
      <c r="F23" s="53">
        <v>8.6205294426662707E-2</v>
      </c>
      <c r="G23" s="53">
        <v>0.51475284266278798</v>
      </c>
      <c r="H23" s="77">
        <v>56.273082870000003</v>
      </c>
      <c r="I23" s="49">
        <v>53.479634200710812</v>
      </c>
      <c r="J23" s="45">
        <v>6.1227134999999997</v>
      </c>
      <c r="K23" s="49">
        <v>62.613185999999999</v>
      </c>
      <c r="L23" s="45">
        <v>5.9666666666666659</v>
      </c>
      <c r="M23" s="49">
        <v>0.2</v>
      </c>
      <c r="N23" s="43">
        <v>1085.0000000000002</v>
      </c>
      <c r="O23" s="50">
        <v>1</v>
      </c>
      <c r="P23" s="51">
        <v>0.54</v>
      </c>
      <c r="Q23" s="49">
        <v>1.63880798898586</v>
      </c>
      <c r="R23" s="49">
        <v>1.2531832848101401</v>
      </c>
      <c r="S23" s="49">
        <v>3.3555290878505302</v>
      </c>
      <c r="T23" s="49">
        <v>0.26825352056778701</v>
      </c>
      <c r="U23" s="49">
        <v>1.2640760949539971</v>
      </c>
    </row>
    <row r="24" spans="1:21">
      <c r="A24" s="55" t="s">
        <v>124</v>
      </c>
      <c r="B24" s="8">
        <v>122.4859</v>
      </c>
      <c r="C24" s="8">
        <v>42.720700000000001</v>
      </c>
      <c r="D24" s="57" t="s">
        <v>125</v>
      </c>
      <c r="E24" s="78">
        <v>0.91508269484536198</v>
      </c>
      <c r="F24" s="59">
        <v>5.6389510301655399E-2</v>
      </c>
      <c r="G24" s="59">
        <v>0.13942700341700601</v>
      </c>
      <c r="H24" s="60">
        <v>3.159476545</v>
      </c>
      <c r="I24" s="8">
        <v>6.1391405255467477</v>
      </c>
      <c r="J24" s="57">
        <v>1.9380011111111113</v>
      </c>
      <c r="K24" s="8">
        <v>8.4609737777777774</v>
      </c>
      <c r="L24" s="57">
        <v>5.6733333333333329</v>
      </c>
      <c r="M24" s="8">
        <v>0.2</v>
      </c>
      <c r="N24" s="55">
        <v>1420.0000000000002</v>
      </c>
      <c r="O24" s="61">
        <v>1</v>
      </c>
      <c r="P24" s="62">
        <v>0.43612499999999998</v>
      </c>
      <c r="Q24" s="8">
        <v>1.41837893567201</v>
      </c>
      <c r="R24" s="8">
        <v>1.3999149107769699</v>
      </c>
      <c r="S24" s="8">
        <v>7.8270596443072096</v>
      </c>
      <c r="T24" s="8">
        <v>0.17604813973781799</v>
      </c>
      <c r="U24" s="8">
        <v>6.8799438392952883</v>
      </c>
    </row>
    <row r="25" spans="1:21" ht="14.5">
      <c r="A25" s="63" t="s">
        <v>126</v>
      </c>
      <c r="B25" s="56">
        <v>100.28</v>
      </c>
      <c r="C25" s="56">
        <v>34.461970000000001</v>
      </c>
      <c r="D25" s="57" t="s">
        <v>127</v>
      </c>
      <c r="E25" s="78">
        <v>12.494692151954601</v>
      </c>
      <c r="F25" s="59">
        <v>0.16547233876848302</v>
      </c>
      <c r="G25" s="59">
        <v>0.76711712120353792</v>
      </c>
      <c r="H25" s="60">
        <v>17.602857969999999</v>
      </c>
      <c r="I25" s="8">
        <v>19.012415502288786</v>
      </c>
      <c r="J25" s="57">
        <v>6.0452297777777773</v>
      </c>
      <c r="K25" s="8">
        <v>55.637598555555556</v>
      </c>
      <c r="L25" s="57">
        <v>6.2766666666666664</v>
      </c>
      <c r="M25" s="8">
        <v>0.2</v>
      </c>
      <c r="N25" s="55">
        <v>1147.5000000000002</v>
      </c>
      <c r="O25" s="61">
        <v>1</v>
      </c>
      <c r="P25" s="62">
        <v>0.52385000000000004</v>
      </c>
      <c r="Q25" s="8">
        <v>0.92345197659451494</v>
      </c>
      <c r="R25" s="8">
        <v>0.85356786985919897</v>
      </c>
      <c r="S25" s="8">
        <v>2.8869146293744699</v>
      </c>
      <c r="T25" s="8">
        <v>0.17819528010895799</v>
      </c>
      <c r="U25" s="8">
        <v>-0.527528444054985</v>
      </c>
    </row>
    <row r="26" spans="1:21">
      <c r="A26" s="55" t="s">
        <v>128</v>
      </c>
      <c r="B26" s="56">
        <v>111.67400000000001</v>
      </c>
      <c r="C26" s="56">
        <v>43.5533</v>
      </c>
      <c r="D26" s="57" t="s">
        <v>101</v>
      </c>
      <c r="E26" s="78">
        <v>2.0631008734602498</v>
      </c>
      <c r="F26" s="59">
        <v>9.0389154426983295E-2</v>
      </c>
      <c r="G26" s="59">
        <v>0.27781817983462997</v>
      </c>
      <c r="H26" s="60">
        <v>11.912598129999999</v>
      </c>
      <c r="I26" s="8">
        <v>12.118746808071137</v>
      </c>
      <c r="J26" s="57">
        <v>3.545498777777778</v>
      </c>
      <c r="K26" s="8">
        <v>31.579324222222219</v>
      </c>
      <c r="L26" s="57">
        <v>7.5066666666666668</v>
      </c>
      <c r="M26" s="8">
        <v>0.2</v>
      </c>
      <c r="N26" s="55">
        <v>1440.0000000000002</v>
      </c>
      <c r="O26" s="61">
        <v>1</v>
      </c>
      <c r="P26" s="62">
        <v>0.43614999999999993</v>
      </c>
      <c r="Q26" s="8">
        <v>0.14987831982171601</v>
      </c>
      <c r="R26" s="8">
        <v>0.12666067783146701</v>
      </c>
      <c r="S26" s="8">
        <v>7.4727936806875199</v>
      </c>
      <c r="T26" s="8">
        <v>0.159938652504649</v>
      </c>
      <c r="U26" s="8">
        <v>6.285747128839386</v>
      </c>
    </row>
    <row r="27" spans="1:21" ht="14.5">
      <c r="A27" s="63" t="s">
        <v>129</v>
      </c>
      <c r="B27" s="56">
        <v>117.13</v>
      </c>
      <c r="C27" s="56">
        <v>42.39</v>
      </c>
      <c r="D27" s="57" t="s">
        <v>101</v>
      </c>
      <c r="E27" s="78">
        <v>2.7426125796178402</v>
      </c>
      <c r="F27" s="59">
        <v>0.15413815508432799</v>
      </c>
      <c r="G27" s="59">
        <v>0.74489028907146604</v>
      </c>
      <c r="H27" s="60">
        <v>11.506337889999999</v>
      </c>
      <c r="I27" s="8">
        <v>16.400754243413548</v>
      </c>
      <c r="J27" s="57">
        <v>3.9017943333333331</v>
      </c>
      <c r="K27" s="8">
        <v>39.824085555555556</v>
      </c>
      <c r="L27" s="57">
        <v>7.333333333333333</v>
      </c>
      <c r="M27" s="8">
        <v>0.2</v>
      </c>
      <c r="N27" s="55">
        <v>1327.5000000000002</v>
      </c>
      <c r="O27" s="61">
        <v>1</v>
      </c>
      <c r="P27" s="62">
        <v>0.46410000000000001</v>
      </c>
      <c r="Q27" s="8">
        <v>1.12279944557703</v>
      </c>
      <c r="R27" s="8">
        <v>1.1192118359755201</v>
      </c>
      <c r="S27" s="8">
        <v>4.7472790452094999</v>
      </c>
      <c r="T27" s="8">
        <v>0.14780161847185599</v>
      </c>
      <c r="U27" s="8">
        <v>2.8437809272661978</v>
      </c>
    </row>
    <row r="28" spans="1:21">
      <c r="A28" s="71" t="s">
        <v>130</v>
      </c>
      <c r="B28" s="65">
        <v>102.959</v>
      </c>
      <c r="C28" s="65">
        <v>33.768999999999998</v>
      </c>
      <c r="D28" s="66" t="s">
        <v>131</v>
      </c>
      <c r="E28" s="67">
        <v>4.7407151933701801</v>
      </c>
      <c r="F28" s="68">
        <v>6.3755387492039697E-2</v>
      </c>
      <c r="G28" s="68">
        <v>0.272219682059682</v>
      </c>
      <c r="H28" s="69">
        <v>52.329326289999997</v>
      </c>
      <c r="I28" s="70">
        <v>44.479054965920966</v>
      </c>
      <c r="J28" s="66">
        <v>7.3737335555555559</v>
      </c>
      <c r="K28" s="70">
        <v>56.730523111111111</v>
      </c>
      <c r="L28" s="66">
        <v>7.373333333333334</v>
      </c>
      <c r="M28" s="70">
        <v>0.2</v>
      </c>
      <c r="N28" s="71">
        <v>1175.0000000000002</v>
      </c>
      <c r="O28" s="72">
        <v>1</v>
      </c>
      <c r="P28" s="73">
        <v>0.51672499999999999</v>
      </c>
      <c r="Q28" s="70">
        <v>1.57349421196802</v>
      </c>
      <c r="R28" s="70">
        <v>1.5528191945324199</v>
      </c>
      <c r="S28" s="70">
        <v>6.1721887909354196</v>
      </c>
      <c r="T28" s="70">
        <v>0.232261874198505</v>
      </c>
      <c r="U28" s="70">
        <v>3.1318634618471939</v>
      </c>
    </row>
    <row r="29" spans="1:21" ht="14.5">
      <c r="A29" s="63" t="s">
        <v>132</v>
      </c>
      <c r="B29" s="56">
        <v>118.12</v>
      </c>
      <c r="C29" s="56">
        <v>29.25</v>
      </c>
      <c r="D29" s="57" t="s">
        <v>111</v>
      </c>
      <c r="E29" s="58">
        <v>0.97577989044944002</v>
      </c>
      <c r="F29" s="59">
        <v>9.2238428158774005E-2</v>
      </c>
      <c r="G29" s="59">
        <v>0.43920973776685501</v>
      </c>
      <c r="H29" s="60">
        <v>9.8319656020000004</v>
      </c>
      <c r="I29" s="8">
        <v>14.92449052486173</v>
      </c>
      <c r="J29" s="57">
        <v>11.659461333333333</v>
      </c>
      <c r="K29" s="8">
        <v>49.688845666666666</v>
      </c>
      <c r="L29" s="57">
        <v>4.7566666666666668</v>
      </c>
      <c r="M29" s="8">
        <v>0.2</v>
      </c>
      <c r="N29" s="55">
        <v>1157.5000000000002</v>
      </c>
      <c r="O29" s="61">
        <v>0</v>
      </c>
      <c r="P29" s="62">
        <v>0.51860000000000006</v>
      </c>
      <c r="Q29" s="8">
        <v>3.1237949980473898</v>
      </c>
      <c r="R29" s="8">
        <v>3.0676479744584602</v>
      </c>
      <c r="S29" s="8">
        <v>17.507051705138299</v>
      </c>
      <c r="T29" s="8">
        <v>0.30132006678148499</v>
      </c>
      <c r="U29" s="8">
        <v>17.3558350612693</v>
      </c>
    </row>
    <row r="30" spans="1:21">
      <c r="A30" s="55" t="s">
        <v>133</v>
      </c>
      <c r="B30" s="56">
        <v>108.017</v>
      </c>
      <c r="C30" s="56">
        <v>34.090000000000003</v>
      </c>
      <c r="D30" s="57" t="s">
        <v>111</v>
      </c>
      <c r="E30" s="78">
        <v>1.7816216888888901</v>
      </c>
      <c r="F30" s="59">
        <v>0.25991460919050502</v>
      </c>
      <c r="G30" s="59">
        <v>0.27613204080758197</v>
      </c>
      <c r="H30" s="60">
        <v>9.2045053360000004</v>
      </c>
      <c r="I30" s="8">
        <v>15.732147420920425</v>
      </c>
      <c r="J30" s="57">
        <v>4.8892585555555561</v>
      </c>
      <c r="K30" s="8">
        <v>43.533258999999994</v>
      </c>
      <c r="L30" s="57">
        <v>6.06</v>
      </c>
      <c r="M30" s="8">
        <v>0.2</v>
      </c>
      <c r="N30" s="55">
        <v>1245.0000000000002</v>
      </c>
      <c r="O30" s="61">
        <v>1</v>
      </c>
      <c r="P30" s="62">
        <v>0.493975</v>
      </c>
      <c r="Q30" s="8">
        <v>3.1692105472496102</v>
      </c>
      <c r="R30" s="8">
        <v>3.1795184775574601</v>
      </c>
      <c r="S30" s="8">
        <v>13.482815571824201</v>
      </c>
      <c r="T30" s="8">
        <v>0.27227866758957298</v>
      </c>
      <c r="U30" s="8">
        <v>12.949225957165041</v>
      </c>
    </row>
    <row r="31" spans="1:21" ht="14.5">
      <c r="A31" s="63" t="s">
        <v>134</v>
      </c>
      <c r="B31" s="56">
        <v>115.46</v>
      </c>
      <c r="C31" s="56">
        <v>40.03</v>
      </c>
      <c r="D31" s="57" t="s">
        <v>103</v>
      </c>
      <c r="E31" s="78">
        <v>12.008299462686599</v>
      </c>
      <c r="F31" s="59">
        <v>0.22971900443206</v>
      </c>
      <c r="G31" s="59">
        <v>1.06957315704172</v>
      </c>
      <c r="H31" s="60">
        <v>30.94397214</v>
      </c>
      <c r="I31" s="8">
        <v>68.942022090401878</v>
      </c>
      <c r="J31" s="57">
        <v>5.6529921111111108</v>
      </c>
      <c r="K31" s="8">
        <v>44.292140111111109</v>
      </c>
      <c r="L31" s="57">
        <v>6.3933333333333335</v>
      </c>
      <c r="M31" s="8">
        <v>0.2</v>
      </c>
      <c r="N31" s="55">
        <v>1177.5000000000002</v>
      </c>
      <c r="O31" s="61">
        <v>1</v>
      </c>
      <c r="P31" s="62">
        <v>0.51524999999999999</v>
      </c>
      <c r="Q31" s="8">
        <v>0.78331765639275697</v>
      </c>
      <c r="R31" s="8">
        <v>0.76793058718720497</v>
      </c>
      <c r="S31" s="8">
        <v>8.98903752993232</v>
      </c>
      <c r="T31" s="8">
        <v>0.17921297345198201</v>
      </c>
      <c r="U31" s="8">
        <v>7.2757600549149402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Views>
    <sheetView workbookViewId="0">
      <selection activeCell="Q8" sqref="Q8"/>
    </sheetView>
  </sheetViews>
  <sheetFormatPr defaultRowHeight="14"/>
  <sheetData>
    <row r="1" spans="1:45">
      <c r="A1" t="s">
        <v>135</v>
      </c>
      <c r="B1" t="s">
        <v>136</v>
      </c>
      <c r="C1" t="s">
        <v>0</v>
      </c>
      <c r="D1" t="s">
        <v>1</v>
      </c>
      <c r="E1" t="s">
        <v>2</v>
      </c>
      <c r="F1" t="s">
        <v>3</v>
      </c>
      <c r="G1" s="6" t="s">
        <v>4</v>
      </c>
      <c r="H1" s="6" t="s">
        <v>56</v>
      </c>
      <c r="I1" s="95" t="s">
        <v>57</v>
      </c>
      <c r="J1" s="6" t="s">
        <v>33</v>
      </c>
      <c r="K1" s="6" t="s">
        <v>34</v>
      </c>
      <c r="L1" s="95" t="s">
        <v>145</v>
      </c>
      <c r="M1" s="6" t="s">
        <v>139</v>
      </c>
      <c r="N1" s="6" t="s">
        <v>140</v>
      </c>
      <c r="O1" s="6" t="s">
        <v>141</v>
      </c>
      <c r="P1" s="6" t="s">
        <v>142</v>
      </c>
      <c r="Q1" s="18" t="s">
        <v>60</v>
      </c>
      <c r="R1" s="18" t="s">
        <v>164</v>
      </c>
      <c r="S1" t="s">
        <v>27</v>
      </c>
      <c r="T1" t="s">
        <v>5</v>
      </c>
      <c r="U1" s="8" t="s">
        <v>157</v>
      </c>
      <c r="V1" t="s">
        <v>137</v>
      </c>
      <c r="W1" t="s">
        <v>158</v>
      </c>
      <c r="X1" t="s">
        <v>143</v>
      </c>
      <c r="Y1" t="s">
        <v>144</v>
      </c>
      <c r="Z1" s="14" t="s">
        <v>62</v>
      </c>
      <c r="AA1" s="14" t="s">
        <v>64</v>
      </c>
      <c r="AB1" s="8" t="s">
        <v>88</v>
      </c>
      <c r="AC1" s="8" t="s">
        <v>89</v>
      </c>
      <c r="AD1" s="8" t="s">
        <v>90</v>
      </c>
      <c r="AE1" s="8" t="s">
        <v>91</v>
      </c>
      <c r="AF1" s="8" t="s">
        <v>92</v>
      </c>
      <c r="AG1" s="8" t="s">
        <v>146</v>
      </c>
      <c r="AH1" s="8" t="s">
        <v>147</v>
      </c>
      <c r="AJ1" s="8" t="s">
        <v>153</v>
      </c>
      <c r="AK1" s="8" t="s">
        <v>154</v>
      </c>
      <c r="AM1" s="8" t="s">
        <v>148</v>
      </c>
      <c r="AN1" s="8" t="s">
        <v>149</v>
      </c>
      <c r="AO1" s="8" t="s">
        <v>150</v>
      </c>
      <c r="AP1" s="8" t="s">
        <v>151</v>
      </c>
      <c r="AQ1" s="8" t="s">
        <v>152</v>
      </c>
      <c r="AR1" s="8" t="s">
        <v>155</v>
      </c>
      <c r="AS1" s="8" t="s">
        <v>156</v>
      </c>
    </row>
    <row r="2" spans="1:45" s="102" customFormat="1">
      <c r="A2">
        <v>2</v>
      </c>
      <c r="B2">
        <v>19</v>
      </c>
      <c r="C2" t="s">
        <v>14</v>
      </c>
      <c r="D2" t="s">
        <v>15</v>
      </c>
      <c r="E2">
        <v>10</v>
      </c>
      <c r="F2" t="s">
        <v>15</v>
      </c>
      <c r="G2" s="117">
        <v>28.361694571283618</v>
      </c>
      <c r="H2">
        <v>5.7682061718750104</v>
      </c>
      <c r="I2">
        <v>24.914421130000001</v>
      </c>
      <c r="J2" s="28">
        <v>0.40710470656129227</v>
      </c>
      <c r="K2" s="8">
        <v>6.4582437702556506E-2</v>
      </c>
      <c r="L2" s="29">
        <v>36.606481646666666</v>
      </c>
      <c r="M2" s="29">
        <f t="shared" ref="M2:M11" si="0">H2/SUM($H2:$K2)*100</f>
        <v>18.514951378074372</v>
      </c>
      <c r="N2" s="29">
        <f t="shared" ref="N2:N11" si="1">I2/SUM($H2:$K2)*100</f>
        <v>79.971013880190824</v>
      </c>
      <c r="O2" s="29">
        <f t="shared" ref="O2:O11" si="2">J2/SUM($H2:$K2)*100</f>
        <v>1.3067362058796554</v>
      </c>
      <c r="P2" s="29">
        <f t="shared" ref="P2:P11" si="3">K2/SUM($H2:$K2)*100</f>
        <v>0.20729853585515373</v>
      </c>
      <c r="Q2" s="19">
        <v>0.20355235328064614</v>
      </c>
      <c r="R2" s="62">
        <v>91.458991724317002</v>
      </c>
      <c r="S2" s="25">
        <v>1122.5000000000002</v>
      </c>
      <c r="T2">
        <v>2.62</v>
      </c>
      <c r="U2" s="99">
        <v>39.942479333333331</v>
      </c>
      <c r="V2" s="8">
        <v>42.565676333333329</v>
      </c>
      <c r="W2" s="8" t="s">
        <v>159</v>
      </c>
      <c r="X2">
        <v>15</v>
      </c>
      <c r="Y2" s="28">
        <v>0.28520693111843037</v>
      </c>
      <c r="Z2" s="13">
        <v>6.22</v>
      </c>
      <c r="AA2" s="13">
        <v>0.52692500000000009</v>
      </c>
      <c r="AB2" s="49">
        <v>1.13748917601594</v>
      </c>
      <c r="AC2" s="49">
        <v>1.08799431854731</v>
      </c>
      <c r="AD2" s="49">
        <v>0.90517143312223403</v>
      </c>
      <c r="AE2" s="49">
        <v>0.17685790849548499</v>
      </c>
      <c r="AF2" s="49">
        <v>-1.7993987368230697</v>
      </c>
      <c r="AG2">
        <v>1</v>
      </c>
      <c r="AH2" s="49">
        <v>0.86</v>
      </c>
      <c r="AJ2" s="102">
        <f>-3.63*0.0001*AF2 +1.06*0.01</f>
        <v>1.1253181741466774E-2</v>
      </c>
      <c r="AK2" s="102">
        <f>1-(2.74*0.01*AF2+0.35)</f>
        <v>0.69930352538895213</v>
      </c>
      <c r="AM2" s="103">
        <v>1127.8597648534901</v>
      </c>
      <c r="AN2" s="103">
        <v>16.827493520360498</v>
      </c>
      <c r="AO2" s="102">
        <f>-1.6*0.01*AN2+1.3*0.00001*AM2+0.41</f>
        <v>0.15542228061732732</v>
      </c>
      <c r="AP2" s="102">
        <f>AO2+0.1</f>
        <v>0.2554222806173273</v>
      </c>
      <c r="AQ2" s="112">
        <f>AVERAGE(AO2:AP2)</f>
        <v>0.20542228061732731</v>
      </c>
      <c r="AR2" s="113">
        <f>-3.63*0.0001*AN2 +1.06*0.01</f>
        <v>4.491619852109139E-3</v>
      </c>
      <c r="AS2" s="114">
        <f>1-(2.74*0.01*AN2+0.35)</f>
        <v>0.18892667754212233</v>
      </c>
    </row>
    <row r="3" spans="1:45">
      <c r="A3">
        <v>3</v>
      </c>
      <c r="B3">
        <v>17</v>
      </c>
      <c r="C3" t="s">
        <v>16</v>
      </c>
      <c r="D3" t="s">
        <v>15</v>
      </c>
      <c r="E3">
        <v>10</v>
      </c>
      <c r="F3" t="s">
        <v>15</v>
      </c>
      <c r="G3" s="117">
        <v>10.634680496088141</v>
      </c>
      <c r="H3">
        <v>0.91382600258732105</v>
      </c>
      <c r="I3">
        <v>7.6987623090000001</v>
      </c>
      <c r="J3" s="28">
        <v>0.21222574914168446</v>
      </c>
      <c r="K3" s="8">
        <v>5.5561974448766913E-2</v>
      </c>
      <c r="L3" s="29">
        <v>21.676764973333334</v>
      </c>
      <c r="M3" s="29">
        <f t="shared" si="0"/>
        <v>10.290397602166715</v>
      </c>
      <c r="N3" s="29">
        <f t="shared" si="1"/>
        <v>86.694102575194407</v>
      </c>
      <c r="O3" s="29">
        <f t="shared" si="2"/>
        <v>2.3898284070516396</v>
      </c>
      <c r="P3" s="29">
        <f t="shared" si="3"/>
        <v>0.62567141558724149</v>
      </c>
      <c r="Q3" s="19">
        <v>0.10611287457084223</v>
      </c>
      <c r="R3" s="51">
        <v>90.305059146473496</v>
      </c>
      <c r="S3" s="25">
        <v>1367.5000000000002</v>
      </c>
      <c r="T3">
        <v>1.87</v>
      </c>
      <c r="U3" s="100">
        <v>23.334393333333335</v>
      </c>
      <c r="V3" s="8">
        <v>25.205540666666668</v>
      </c>
      <c r="W3" s="8" t="s">
        <v>160</v>
      </c>
      <c r="X3">
        <v>15</v>
      </c>
      <c r="Y3" s="28">
        <v>0.23255022759378413</v>
      </c>
      <c r="Z3" s="13">
        <v>7.4933333333333332</v>
      </c>
      <c r="AA3" s="13">
        <v>0.45727499999999993</v>
      </c>
      <c r="AB3" s="49">
        <v>0.43245256122979903</v>
      </c>
      <c r="AC3" s="49">
        <v>0.50144037739054803</v>
      </c>
      <c r="AD3" s="49">
        <v>3.5758824826593201</v>
      </c>
      <c r="AE3" s="49">
        <v>0.115831065125162</v>
      </c>
      <c r="AF3" s="49">
        <v>2.2996554272795597</v>
      </c>
      <c r="AG3">
        <v>1</v>
      </c>
      <c r="AH3" s="49">
        <v>0.86</v>
      </c>
      <c r="AJ3">
        <f t="shared" ref="AJ3:AJ11" si="4">-3.63*0.0001*AF3 +1.06*0.01</f>
        <v>9.7652250798975198E-3</v>
      </c>
      <c r="AK3">
        <f t="shared" ref="AK3:AK11" si="5">1-(2.74*0.01*AF3+0.35)</f>
        <v>0.58698944129254005</v>
      </c>
      <c r="AM3" s="8">
        <v>361.907281973865</v>
      </c>
      <c r="AN3" s="8">
        <v>-2.9405060377903101</v>
      </c>
      <c r="AO3">
        <f t="shared" ref="AO3:AO11" si="6">-1.6*0.01*AN3+1.3*0.00001*AM3+0.41</f>
        <v>0.46175289127030517</v>
      </c>
      <c r="AP3">
        <f t="shared" ref="AP3:AP11" si="7">AO3+0.1</f>
        <v>0.56175289127030514</v>
      </c>
      <c r="AQ3" s="97">
        <f t="shared" ref="AQ3:AQ11" si="8">AVERAGE(AO3:AP3)</f>
        <v>0.5117528912703051</v>
      </c>
      <c r="AR3" s="96">
        <f t="shared" ref="AR3:AR11" si="9">-3.63*0.0001*AN3 +1.06*0.01</f>
        <v>1.1667403691717882E-2</v>
      </c>
      <c r="AS3" s="98">
        <f t="shared" ref="AS3:AS11" si="10">1-(2.74*0.01*AN3+0.35)</f>
        <v>0.73056986543545455</v>
      </c>
    </row>
    <row r="4" spans="1:45">
      <c r="A4">
        <v>8</v>
      </c>
      <c r="B4">
        <v>2</v>
      </c>
      <c r="C4" t="s">
        <v>24</v>
      </c>
      <c r="D4" t="s">
        <v>15</v>
      </c>
      <c r="E4">
        <v>10</v>
      </c>
      <c r="F4" t="s">
        <v>15</v>
      </c>
      <c r="G4" s="117">
        <v>39.75</v>
      </c>
      <c r="H4">
        <v>3.2156316019417202</v>
      </c>
      <c r="I4">
        <v>35.505668419999999</v>
      </c>
      <c r="J4" s="28">
        <v>0.47434464925833864</v>
      </c>
      <c r="K4" s="8">
        <v>0.23347681762170791</v>
      </c>
      <c r="L4" s="29">
        <v>60.592568499999999</v>
      </c>
      <c r="M4" s="29">
        <f t="shared" si="0"/>
        <v>8.1554736208194694</v>
      </c>
      <c r="N4" s="29">
        <f t="shared" si="1"/>
        <v>90.049352050782872</v>
      </c>
      <c r="O4" s="29">
        <f t="shared" si="2"/>
        <v>1.2030312402289161</v>
      </c>
      <c r="P4" s="29">
        <f t="shared" si="3"/>
        <v>0.59214308816872585</v>
      </c>
      <c r="Q4" s="19">
        <v>0.23717232462916932</v>
      </c>
      <c r="R4" s="62">
        <v>97.101317900605494</v>
      </c>
      <c r="S4" s="25">
        <v>1367.5000000000002</v>
      </c>
      <c r="T4">
        <v>9.4700000000000006</v>
      </c>
      <c r="U4" s="99">
        <v>60.982661999999998</v>
      </c>
      <c r="V4" s="8">
        <v>70.456474999999998</v>
      </c>
      <c r="W4" s="101" t="s">
        <v>161</v>
      </c>
      <c r="X4">
        <v>15</v>
      </c>
      <c r="Y4" s="28">
        <v>0.33145400265369324</v>
      </c>
      <c r="Z4" s="13">
        <v>7.8266666666666671</v>
      </c>
      <c r="AA4" s="13">
        <v>0.45879999999999999</v>
      </c>
      <c r="AB4" s="49">
        <v>0.67613235132143601</v>
      </c>
      <c r="AC4" s="49">
        <v>0.65749758392164104</v>
      </c>
      <c r="AD4" s="49">
        <v>3.2798871677346702</v>
      </c>
      <c r="AE4" s="49">
        <v>0.150477954353372</v>
      </c>
      <c r="AF4" s="49">
        <v>-0.37877230709543702</v>
      </c>
      <c r="AG4" s="8">
        <v>1</v>
      </c>
      <c r="AH4">
        <v>0.86</v>
      </c>
      <c r="AJ4">
        <f t="shared" si="4"/>
        <v>1.0737494347475644E-2</v>
      </c>
      <c r="AK4">
        <f t="shared" si="5"/>
        <v>0.66037836121441496</v>
      </c>
      <c r="AM4" s="8">
        <v>370.66728177806402</v>
      </c>
      <c r="AN4" s="8">
        <v>6.0949937602505297</v>
      </c>
      <c r="AO4">
        <f t="shared" si="6"/>
        <v>0.31729877449910632</v>
      </c>
      <c r="AP4">
        <f t="shared" si="7"/>
        <v>0.41729877449910635</v>
      </c>
      <c r="AQ4" s="97">
        <f t="shared" si="8"/>
        <v>0.36729877449910631</v>
      </c>
      <c r="AR4" s="96">
        <f t="shared" si="9"/>
        <v>8.3875172650290583E-3</v>
      </c>
      <c r="AS4" s="98">
        <f t="shared" si="10"/>
        <v>0.48299717096913541</v>
      </c>
    </row>
    <row r="5" spans="1:45" s="1" customFormat="1">
      <c r="A5" s="102">
        <v>9</v>
      </c>
      <c r="B5" s="102">
        <v>3</v>
      </c>
      <c r="C5" s="102" t="s">
        <v>52</v>
      </c>
      <c r="D5" s="115" t="s">
        <v>15</v>
      </c>
      <c r="E5" s="115">
        <v>12</v>
      </c>
      <c r="F5" s="115" t="s">
        <v>25</v>
      </c>
      <c r="G5" s="118">
        <v>13.6</v>
      </c>
      <c r="H5" s="102">
        <v>3.1290955751682898</v>
      </c>
      <c r="I5" s="102">
        <v>10.390437439999999</v>
      </c>
      <c r="J5" s="109">
        <v>0.1559363101911804</v>
      </c>
      <c r="K5" s="103">
        <v>0.13624062492925051</v>
      </c>
      <c r="L5" s="104">
        <v>44.020961899999996</v>
      </c>
      <c r="M5" s="104">
        <f t="shared" si="0"/>
        <v>22.655381458418763</v>
      </c>
      <c r="N5" s="104">
        <f t="shared" si="1"/>
        <v>75.229189415339533</v>
      </c>
      <c r="O5" s="104">
        <f t="shared" si="2"/>
        <v>1.1290152396222359</v>
      </c>
      <c r="P5" s="104">
        <f t="shared" si="3"/>
        <v>0.98641388661946627</v>
      </c>
      <c r="Q5" s="105">
        <v>7.79681550955902E-2</v>
      </c>
      <c r="R5" s="106">
        <v>96.269159101132203</v>
      </c>
      <c r="S5" s="107">
        <v>1307.5000000000002</v>
      </c>
      <c r="T5" s="102">
        <v>5.67</v>
      </c>
      <c r="U5" s="116">
        <v>45.513823666666667</v>
      </c>
      <c r="V5" s="103">
        <v>51.187165</v>
      </c>
      <c r="W5" s="103" t="s">
        <v>159</v>
      </c>
      <c r="X5" s="102">
        <v>15</v>
      </c>
      <c r="Y5" s="109">
        <v>0.26479822234801714</v>
      </c>
      <c r="Z5" s="110">
        <v>5.9066666666666672</v>
      </c>
      <c r="AA5" s="110">
        <v>0.47787500000000005</v>
      </c>
      <c r="AB5" s="111">
        <v>2.58531650689826</v>
      </c>
      <c r="AC5" s="111">
        <v>2.5341520185339901</v>
      </c>
      <c r="AD5" s="111">
        <v>17.4143864570513</v>
      </c>
      <c r="AE5" s="111">
        <v>0.25853256028074101</v>
      </c>
      <c r="AF5" s="111">
        <v>17.124906056025278</v>
      </c>
      <c r="AG5" s="103">
        <v>1</v>
      </c>
      <c r="AH5" s="102">
        <v>0.86</v>
      </c>
      <c r="AJ5">
        <f t="shared" si="4"/>
        <v>4.3836591016628247E-3</v>
      </c>
      <c r="AK5">
        <f t="shared" si="5"/>
        <v>0.18077757406490735</v>
      </c>
      <c r="AM5" s="8">
        <v>540.39227798441402</v>
      </c>
      <c r="AN5" s="8">
        <v>0.76524387937972704</v>
      </c>
      <c r="AO5">
        <f t="shared" si="6"/>
        <v>0.40478119754372172</v>
      </c>
      <c r="AP5">
        <f t="shared" si="7"/>
        <v>0.50478119754372175</v>
      </c>
      <c r="AQ5" s="97">
        <f t="shared" si="8"/>
        <v>0.4547811975437217</v>
      </c>
      <c r="AR5" s="96">
        <f t="shared" si="9"/>
        <v>1.032221647178516E-2</v>
      </c>
      <c r="AS5" s="98">
        <f t="shared" si="10"/>
        <v>0.62903231770499546</v>
      </c>
    </row>
    <row r="6" spans="1:45" s="15" customFormat="1">
      <c r="A6" s="85">
        <v>10</v>
      </c>
      <c r="B6" s="85">
        <v>4</v>
      </c>
      <c r="C6" s="85" t="s">
        <v>26</v>
      </c>
      <c r="D6" s="85" t="s">
        <v>15</v>
      </c>
      <c r="E6" s="85">
        <v>10</v>
      </c>
      <c r="F6" s="85" t="s">
        <v>15</v>
      </c>
      <c r="G6" s="119">
        <v>71.849999999999994</v>
      </c>
      <c r="H6" s="85">
        <v>13.6724508965785</v>
      </c>
      <c r="I6" s="85">
        <v>48.612446990000002</v>
      </c>
      <c r="J6" s="93">
        <v>0.81013855063808127</v>
      </c>
      <c r="K6" s="86">
        <v>0.41317497019737431</v>
      </c>
      <c r="L6" s="87">
        <v>31.481371039999992</v>
      </c>
      <c r="M6" s="87">
        <f t="shared" si="0"/>
        <v>21.528634791598581</v>
      </c>
      <c r="N6" s="87">
        <f t="shared" si="1"/>
        <v>76.545136310239371</v>
      </c>
      <c r="O6" s="87">
        <f t="shared" si="2"/>
        <v>1.2756437831966805</v>
      </c>
      <c r="P6" s="87">
        <f t="shared" si="3"/>
        <v>0.65058511496536997</v>
      </c>
      <c r="Q6" s="88">
        <v>0.40506927531904063</v>
      </c>
      <c r="R6" s="62">
        <v>62.724180758365002</v>
      </c>
      <c r="S6" s="89">
        <v>1262.5000000000002</v>
      </c>
      <c r="T6" s="85">
        <v>10.26</v>
      </c>
      <c r="U6" s="100">
        <v>55.324887333333329</v>
      </c>
      <c r="V6" s="86">
        <v>65.586189666666655</v>
      </c>
      <c r="W6" s="101" t="s">
        <v>161</v>
      </c>
      <c r="X6" s="85">
        <v>15</v>
      </c>
      <c r="Y6" s="93">
        <v>0.492934937947483</v>
      </c>
      <c r="Z6" s="94">
        <v>4.72</v>
      </c>
      <c r="AA6" s="94">
        <v>0.51</v>
      </c>
      <c r="AB6" s="92">
        <v>3.0066948912731601</v>
      </c>
      <c r="AC6" s="92">
        <v>3.0150548990458699</v>
      </c>
      <c r="AD6" s="92">
        <v>22.875390230361699</v>
      </c>
      <c r="AE6" s="92">
        <v>0.28148527929329697</v>
      </c>
      <c r="AF6" s="92">
        <v>21.155417196195437</v>
      </c>
      <c r="AG6" s="8">
        <v>0</v>
      </c>
      <c r="AH6" s="1">
        <v>0.86</v>
      </c>
      <c r="AJ6">
        <f t="shared" si="4"/>
        <v>2.9205835577810566E-3</v>
      </c>
      <c r="AK6">
        <f t="shared" si="5"/>
        <v>7.0341568824244916E-2</v>
      </c>
      <c r="AM6" s="8">
        <v>1644.69975330122</v>
      </c>
      <c r="AN6" s="8">
        <v>17.4049935074523</v>
      </c>
      <c r="AO6">
        <f t="shared" si="6"/>
        <v>0.15290120067367902</v>
      </c>
      <c r="AP6">
        <f t="shared" si="7"/>
        <v>0.25290120067367905</v>
      </c>
      <c r="AQ6" s="97">
        <f t="shared" si="8"/>
        <v>0.20290120067367903</v>
      </c>
      <c r="AR6" s="96">
        <f t="shared" si="9"/>
        <v>4.2819873567948152E-3</v>
      </c>
      <c r="AS6" s="98">
        <f t="shared" si="10"/>
        <v>0.17310317789580698</v>
      </c>
    </row>
    <row r="7" spans="1:45">
      <c r="A7" s="102">
        <v>1</v>
      </c>
      <c r="B7" s="102">
        <v>20</v>
      </c>
      <c r="C7" s="102" t="s">
        <v>50</v>
      </c>
      <c r="D7" s="102" t="s">
        <v>12</v>
      </c>
      <c r="E7" s="102">
        <v>7</v>
      </c>
      <c r="F7" s="102" t="s">
        <v>13</v>
      </c>
      <c r="G7" s="118">
        <v>6.8884134602511642</v>
      </c>
      <c r="H7" s="102">
        <v>0.37112420792079298</v>
      </c>
      <c r="I7" s="102">
        <v>6.1017872730000002</v>
      </c>
      <c r="J7" s="109">
        <v>6.443519749655878E-2</v>
      </c>
      <c r="K7" s="103">
        <v>8.8252600203228115E-2</v>
      </c>
      <c r="L7" s="104">
        <v>47.617494226666665</v>
      </c>
      <c r="M7" s="104">
        <f t="shared" si="0"/>
        <v>5.6013681527395258</v>
      </c>
      <c r="N7" s="104">
        <f t="shared" si="1"/>
        <v>92.094118832226826</v>
      </c>
      <c r="O7" s="104">
        <f t="shared" si="2"/>
        <v>0.9725187833873028</v>
      </c>
      <c r="P7" s="104">
        <f t="shared" si="3"/>
        <v>1.3319942316463471</v>
      </c>
      <c r="Q7" s="105">
        <v>3.221759874827939E-2</v>
      </c>
      <c r="R7" s="106">
        <v>94.846068596564805</v>
      </c>
      <c r="S7" s="107">
        <v>1345.0000000000002</v>
      </c>
      <c r="T7" s="102">
        <v>6.43</v>
      </c>
      <c r="U7" s="108">
        <v>48.938436333333335</v>
      </c>
      <c r="V7" s="103">
        <v>55.369179333333335</v>
      </c>
      <c r="W7" s="103" t="s">
        <v>159</v>
      </c>
      <c r="X7" s="102">
        <v>15</v>
      </c>
      <c r="Y7" s="109">
        <v>0.31645962732919197</v>
      </c>
      <c r="Z7" s="110">
        <v>6.7766666666666664</v>
      </c>
      <c r="AA7" s="110">
        <v>0.46562500000000001</v>
      </c>
      <c r="AB7" s="111">
        <v>2.71496536561403</v>
      </c>
      <c r="AC7" s="111">
        <v>2.6737765328524898</v>
      </c>
      <c r="AD7" s="111">
        <v>18.233792627622002</v>
      </c>
      <c r="AE7" s="111">
        <v>0.254542073589482</v>
      </c>
      <c r="AF7" s="111">
        <v>17.380246180704219</v>
      </c>
      <c r="AG7" s="102">
        <v>1</v>
      </c>
      <c r="AH7" s="111">
        <v>0.86</v>
      </c>
      <c r="AJ7">
        <f t="shared" si="4"/>
        <v>4.2909706364043683E-3</v>
      </c>
      <c r="AK7">
        <f t="shared" si="5"/>
        <v>0.17378125464870431</v>
      </c>
      <c r="AM7" s="8">
        <v>2062.4422439639502</v>
      </c>
      <c r="AN7" s="8">
        <v>17.008243516320402</v>
      </c>
      <c r="AO7">
        <f t="shared" si="6"/>
        <v>0.16467985291040488</v>
      </c>
      <c r="AP7">
        <f t="shared" si="7"/>
        <v>0.26467985291040486</v>
      </c>
      <c r="AQ7" s="97">
        <f t="shared" si="8"/>
        <v>0.21467985291040487</v>
      </c>
      <c r="AR7" s="96">
        <f t="shared" si="9"/>
        <v>4.4260076035756947E-3</v>
      </c>
      <c r="AS7" s="98">
        <f t="shared" si="10"/>
        <v>0.18397412765282095</v>
      </c>
    </row>
    <row r="8" spans="1:45" s="85" customFormat="1">
      <c r="A8" s="1">
        <v>4</v>
      </c>
      <c r="B8" s="1">
        <v>22</v>
      </c>
      <c r="C8" s="1" t="s">
        <v>17</v>
      </c>
      <c r="D8" s="1" t="s">
        <v>12</v>
      </c>
      <c r="E8" s="1">
        <v>4</v>
      </c>
      <c r="F8" s="1" t="s">
        <v>18</v>
      </c>
      <c r="G8" s="120">
        <v>53.479634200710812</v>
      </c>
      <c r="H8" s="1">
        <v>10.3745122576867</v>
      </c>
      <c r="I8" s="1">
        <v>56.273082870000003</v>
      </c>
      <c r="J8" s="81">
        <v>0.5147528426627882</v>
      </c>
      <c r="K8" s="79">
        <v>8.6205294426662707E-2</v>
      </c>
      <c r="L8" s="84">
        <v>53.847339959999999</v>
      </c>
      <c r="M8" s="84">
        <f t="shared" si="0"/>
        <v>15.427115906626835</v>
      </c>
      <c r="N8" s="84">
        <f t="shared" si="1"/>
        <v>83.679246821024265</v>
      </c>
      <c r="O8" s="84">
        <f t="shared" si="2"/>
        <v>0.76544820322909235</v>
      </c>
      <c r="P8" s="84">
        <f t="shared" si="3"/>
        <v>0.12818906911981975</v>
      </c>
      <c r="Q8" s="80">
        <v>0.2573764213313941</v>
      </c>
      <c r="R8" s="51">
        <v>92.340618522360998</v>
      </c>
      <c r="S8" s="27">
        <v>1087.5000000000002</v>
      </c>
      <c r="T8" s="1">
        <v>6.12</v>
      </c>
      <c r="U8" s="100">
        <v>56.490472500000003</v>
      </c>
      <c r="V8" s="79">
        <v>62.613185999999999</v>
      </c>
      <c r="W8" s="79" t="s">
        <v>162</v>
      </c>
      <c r="X8" s="1">
        <v>15</v>
      </c>
      <c r="Y8" s="81">
        <v>0.39124831536388127</v>
      </c>
      <c r="Z8" s="82">
        <v>5.9666666666666659</v>
      </c>
      <c r="AA8" s="82">
        <v>0.54125000000000001</v>
      </c>
      <c r="AB8" s="70">
        <v>1.63880798898586</v>
      </c>
      <c r="AC8" s="70">
        <v>1.2531832848101401</v>
      </c>
      <c r="AD8" s="70">
        <v>3.3555290878505302</v>
      </c>
      <c r="AE8" s="70">
        <v>0.26825352056778701</v>
      </c>
      <c r="AF8" s="70">
        <v>1.2640760949539971</v>
      </c>
      <c r="AG8" s="1">
        <v>1</v>
      </c>
      <c r="AH8" s="70">
        <v>0.9</v>
      </c>
      <c r="AJ8">
        <f t="shared" si="4"/>
        <v>1.0141140377531698E-2</v>
      </c>
      <c r="AK8">
        <f t="shared" si="5"/>
        <v>0.6153643149982605</v>
      </c>
      <c r="AM8" s="8">
        <v>1139.3572645965</v>
      </c>
      <c r="AN8" s="8">
        <v>11.4207436412107</v>
      </c>
      <c r="AO8">
        <f t="shared" si="6"/>
        <v>0.24207974618038325</v>
      </c>
      <c r="AP8">
        <f t="shared" si="7"/>
        <v>0.34207974618038328</v>
      </c>
      <c r="AQ8" s="97">
        <f t="shared" si="8"/>
        <v>0.29207974618038324</v>
      </c>
      <c r="AR8" s="96">
        <f t="shared" si="9"/>
        <v>6.4542700582405164E-3</v>
      </c>
      <c r="AS8" s="98">
        <f t="shared" si="10"/>
        <v>0.33707162423082671</v>
      </c>
    </row>
    <row r="9" spans="1:45">
      <c r="A9">
        <v>5</v>
      </c>
      <c r="B9">
        <v>18</v>
      </c>
      <c r="C9" s="15" t="s">
        <v>19</v>
      </c>
      <c r="D9" s="15" t="s">
        <v>12</v>
      </c>
      <c r="E9" s="15">
        <v>2</v>
      </c>
      <c r="F9" s="15" t="s">
        <v>20</v>
      </c>
      <c r="G9" s="121">
        <v>6.7250291918241478</v>
      </c>
      <c r="H9" s="15">
        <v>0.19547056768559001</v>
      </c>
      <c r="I9" s="15">
        <v>5.2908770389999997</v>
      </c>
      <c r="J9" s="28">
        <v>0.11607105582256995</v>
      </c>
      <c r="K9" s="8">
        <v>0.135439878585836</v>
      </c>
      <c r="L9" s="29">
        <v>36.762772639999994</v>
      </c>
      <c r="M9" s="29">
        <f t="shared" si="0"/>
        <v>3.4066815395612919</v>
      </c>
      <c r="N9" s="29">
        <f t="shared" si="1"/>
        <v>92.209959536423597</v>
      </c>
      <c r="O9" s="29">
        <f t="shared" si="2"/>
        <v>2.0228985254913501</v>
      </c>
      <c r="P9" s="29">
        <f t="shared" si="3"/>
        <v>2.3604603985237436</v>
      </c>
      <c r="Q9" s="19">
        <v>5.8035527911284975E-2</v>
      </c>
      <c r="R9" s="62">
        <v>94.462911854869702</v>
      </c>
      <c r="S9" s="26">
        <v>1247.5000000000002</v>
      </c>
      <c r="T9" s="15">
        <v>9.25</v>
      </c>
      <c r="U9" s="100">
        <v>67.337193666666664</v>
      </c>
      <c r="V9" s="8">
        <v>76.589109666666658</v>
      </c>
      <c r="W9" s="101" t="s">
        <v>161</v>
      </c>
      <c r="X9">
        <v>15</v>
      </c>
      <c r="Y9" s="28">
        <v>0.2464281274535709</v>
      </c>
      <c r="Z9" s="17">
        <v>4.1333333333333329</v>
      </c>
      <c r="AA9" s="17">
        <v>0.49447499999999989</v>
      </c>
      <c r="AB9" s="49">
        <v>1.8600638852620599</v>
      </c>
      <c r="AC9" s="49">
        <v>1.6703106140437201</v>
      </c>
      <c r="AD9" s="49">
        <v>19.805455552192601</v>
      </c>
      <c r="AE9" s="49">
        <v>0.29329412177695002</v>
      </c>
      <c r="AF9" s="49">
        <v>19.290757070044961</v>
      </c>
      <c r="AG9" s="15">
        <v>0</v>
      </c>
      <c r="AH9" s="15">
        <v>0.48</v>
      </c>
      <c r="AJ9">
        <f t="shared" si="4"/>
        <v>3.5974551835736791E-3</v>
      </c>
      <c r="AK9">
        <f t="shared" si="5"/>
        <v>0.12143325628076795</v>
      </c>
      <c r="AM9" s="8">
        <v>374.49978169240097</v>
      </c>
      <c r="AN9" s="8">
        <v>1.4754938635043999</v>
      </c>
      <c r="AO9">
        <f t="shared" si="6"/>
        <v>0.39126059534593077</v>
      </c>
      <c r="AP9">
        <f t="shared" si="7"/>
        <v>0.49126059534593081</v>
      </c>
      <c r="AQ9" s="97">
        <f t="shared" si="8"/>
        <v>0.44126059534593076</v>
      </c>
      <c r="AR9" s="96">
        <f t="shared" si="9"/>
        <v>1.0064395727547902E-2</v>
      </c>
      <c r="AS9" s="98">
        <f t="shared" si="10"/>
        <v>0.60957146813997953</v>
      </c>
    </row>
    <row r="10" spans="1:45" s="102" customFormat="1">
      <c r="A10">
        <v>6</v>
      </c>
      <c r="B10">
        <v>21</v>
      </c>
      <c r="C10" t="s">
        <v>11</v>
      </c>
      <c r="D10" t="s">
        <v>12</v>
      </c>
      <c r="E10">
        <v>5</v>
      </c>
      <c r="F10" t="s">
        <v>21</v>
      </c>
      <c r="G10" s="117">
        <v>17.612714194555952</v>
      </c>
      <c r="H10">
        <v>2.3363310648030402</v>
      </c>
      <c r="I10">
        <v>4.4009884809999997</v>
      </c>
      <c r="J10" s="28">
        <v>0.25525305335591281</v>
      </c>
      <c r="K10" s="8">
        <v>0.11442213550239666</v>
      </c>
      <c r="L10" s="29">
        <v>5.5125088</v>
      </c>
      <c r="M10" s="29">
        <f t="shared" si="0"/>
        <v>32.873685038889612</v>
      </c>
      <c r="N10" s="29">
        <f t="shared" si="1"/>
        <v>61.924746609647073</v>
      </c>
      <c r="O10" s="29">
        <f t="shared" si="2"/>
        <v>3.5915751015126611</v>
      </c>
      <c r="P10" s="29">
        <f t="shared" si="3"/>
        <v>1.6099932499506617</v>
      </c>
      <c r="Q10" s="19">
        <v>0.1276265266779564</v>
      </c>
      <c r="R10" s="62">
        <v>53.890007406227603</v>
      </c>
      <c r="S10" s="25">
        <v>1180.0000000000002</v>
      </c>
      <c r="T10">
        <v>1.96</v>
      </c>
      <c r="U10" s="100">
        <v>9.5277426666666667</v>
      </c>
      <c r="V10" s="8">
        <v>11.484393333333333</v>
      </c>
      <c r="W10" s="8" t="s">
        <v>163</v>
      </c>
      <c r="X10">
        <v>15</v>
      </c>
      <c r="Y10" s="28">
        <v>0.1602753226711561</v>
      </c>
      <c r="Z10" s="13">
        <v>4.6433333333333335</v>
      </c>
      <c r="AA10" s="13">
        <v>0.52300000000000002</v>
      </c>
      <c r="AB10" s="49">
        <v>2.0240091130532898</v>
      </c>
      <c r="AC10" s="49">
        <v>1.6300615278008901</v>
      </c>
      <c r="AD10" s="49">
        <v>17.790690446409499</v>
      </c>
      <c r="AE10" s="49">
        <v>0.285530227620308</v>
      </c>
      <c r="AF10" s="49">
        <v>17.617526353809961</v>
      </c>
      <c r="AG10">
        <v>0</v>
      </c>
      <c r="AH10" s="49">
        <v>0.48</v>
      </c>
      <c r="AJ10" s="102">
        <f t="shared" si="4"/>
        <v>4.2048379335669845E-3</v>
      </c>
      <c r="AK10" s="102">
        <f t="shared" si="5"/>
        <v>0.167279777905607</v>
      </c>
      <c r="AM10" s="103">
        <v>1270.75726165948</v>
      </c>
      <c r="AN10" s="103">
        <v>16.991743516689201</v>
      </c>
      <c r="AO10" s="102">
        <f t="shared" si="6"/>
        <v>0.15465194813454597</v>
      </c>
      <c r="AP10" s="102">
        <f t="shared" si="7"/>
        <v>0.25465194813454595</v>
      </c>
      <c r="AQ10" s="112">
        <f t="shared" si="8"/>
        <v>0.20465194813454596</v>
      </c>
      <c r="AR10" s="113">
        <f t="shared" si="9"/>
        <v>4.4319971034418202E-3</v>
      </c>
      <c r="AS10" s="114">
        <f t="shared" si="10"/>
        <v>0.18442622764271577</v>
      </c>
    </row>
    <row r="11" spans="1:45" s="85" customFormat="1">
      <c r="A11" s="85">
        <v>7</v>
      </c>
      <c r="B11" s="85">
        <v>1</v>
      </c>
      <c r="C11" s="85" t="s">
        <v>22</v>
      </c>
      <c r="D11" s="85" t="s">
        <v>12</v>
      </c>
      <c r="E11" s="85">
        <v>6</v>
      </c>
      <c r="F11" s="85" t="s">
        <v>23</v>
      </c>
      <c r="G11" s="119">
        <v>93.6</v>
      </c>
      <c r="H11" s="85">
        <v>9.4601773749999598</v>
      </c>
      <c r="I11" s="85">
        <v>67.705388119999995</v>
      </c>
      <c r="J11" s="93">
        <v>0.98564873057728108</v>
      </c>
      <c r="K11" s="86">
        <v>0.51068014872040446</v>
      </c>
      <c r="L11" s="87">
        <v>74.765091006666665</v>
      </c>
      <c r="M11" s="87">
        <f t="shared" si="0"/>
        <v>12.026378782572293</v>
      </c>
      <c r="N11" s="87">
        <f t="shared" si="1"/>
        <v>86.071392837091864</v>
      </c>
      <c r="O11" s="87">
        <f t="shared" si="2"/>
        <v>1.2530193156641503</v>
      </c>
      <c r="P11" s="87">
        <f t="shared" si="3"/>
        <v>0.64920906467168227</v>
      </c>
      <c r="Q11" s="88">
        <v>0.49282436528864054</v>
      </c>
      <c r="R11" s="62">
        <v>62.146474429565302</v>
      </c>
      <c r="S11" s="89">
        <v>1020.0000000000002</v>
      </c>
      <c r="T11" s="85">
        <v>8.6199999999999992</v>
      </c>
      <c r="U11" s="99">
        <v>78.319013333333331</v>
      </c>
      <c r="V11" s="86">
        <v>86.936152333333325</v>
      </c>
      <c r="W11" s="101" t="s">
        <v>161</v>
      </c>
      <c r="X11" s="85">
        <v>15</v>
      </c>
      <c r="Y11" s="90">
        <v>0.74352040816326503</v>
      </c>
      <c r="Z11" s="91">
        <v>4.1999999999999993</v>
      </c>
      <c r="AA11" s="91">
        <v>0.8</v>
      </c>
      <c r="AB11" s="92">
        <v>2.6519273031605</v>
      </c>
      <c r="AC11" s="92">
        <v>2.6523907445881498</v>
      </c>
      <c r="AD11" s="92">
        <v>15.177026155654699</v>
      </c>
      <c r="AE11" s="92">
        <v>0.25698319786786999</v>
      </c>
      <c r="AF11" s="92">
        <v>12.907132986408403</v>
      </c>
      <c r="AG11" s="8">
        <v>1</v>
      </c>
      <c r="AH11" s="85">
        <v>0.86</v>
      </c>
      <c r="AJ11">
        <f t="shared" si="4"/>
        <v>5.9147107259337499E-3</v>
      </c>
      <c r="AK11">
        <f t="shared" si="5"/>
        <v>0.29634455617240973</v>
      </c>
      <c r="AM11" s="8">
        <v>1798.5472498624599</v>
      </c>
      <c r="AN11" s="8">
        <v>19.775243454473099</v>
      </c>
      <c r="AO11">
        <f t="shared" si="6"/>
        <v>0.11697721897664237</v>
      </c>
      <c r="AP11">
        <f t="shared" si="7"/>
        <v>0.21697721897664238</v>
      </c>
      <c r="AQ11" s="97">
        <f t="shared" si="8"/>
        <v>0.16697721897664236</v>
      </c>
      <c r="AR11" s="96">
        <f t="shared" si="9"/>
        <v>3.4215866260262654E-3</v>
      </c>
      <c r="AS11" s="98">
        <f t="shared" si="10"/>
        <v>0.10815832934743708</v>
      </c>
    </row>
  </sheetData>
  <sortState ref="A2:AH11">
    <sortCondition ref="D1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SITES</vt:lpstr>
      <vt:lpstr>Location</vt:lpstr>
      <vt:lpstr>第一批</vt:lpstr>
      <vt:lpstr>第二批</vt:lpstr>
      <vt:lpstr>单位</vt:lpstr>
      <vt:lpstr>Sheet1</vt:lpstr>
      <vt:lpstr>sheet2</vt:lpstr>
      <vt:lpstr>提取动态数据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2023-09-07T12:35:33Z</dcterms:created>
  <dcterms:modified xsi:type="dcterms:W3CDTF">2024-11-07T08:45:35Z</dcterms:modified>
</cp:coreProperties>
</file>